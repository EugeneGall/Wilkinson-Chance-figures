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s\Wilkinson Graphics\R\data\"/>
    </mc:Choice>
  </mc:AlternateContent>
  <xr:revisionPtr revIDLastSave="0" documentId="13_ncr:1_{8B18548A-7C78-46B1-A147-2AF359751FAF}" xr6:coauthVersionLast="47" xr6:coauthVersionMax="47" xr10:uidLastSave="{00000000-0000-0000-0000-000000000000}"/>
  <bookViews>
    <workbookView xWindow="-120" yWindow="-120" windowWidth="29040" windowHeight="15720" xr2:uid="{04AAA577-1F10-46E7-B65C-247E8CAA08A4}"/>
  </bookViews>
  <sheets>
    <sheet name="WilkinsonData202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D51" i="1"/>
  <c r="E40" i="1"/>
  <c r="E7" i="1"/>
  <c r="E6" i="1"/>
  <c r="E5" i="1"/>
  <c r="E4" i="1"/>
  <c r="E3" i="1"/>
  <c r="D7" i="1"/>
  <c r="D6" i="1"/>
  <c r="D5" i="1"/>
  <c r="D4" i="1"/>
  <c r="D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2" i="1"/>
  <c r="D2" i="1"/>
</calcChain>
</file>

<file path=xl/sharedStrings.xml><?xml version="1.0" encoding="utf-8"?>
<sst xmlns="http://schemas.openxmlformats.org/spreadsheetml/2006/main" count="13" uniqueCount="13">
  <si>
    <t>State</t>
  </si>
  <si>
    <t>Nevada</t>
  </si>
  <si>
    <t>New Hampshire</t>
  </si>
  <si>
    <t>Excise Taxes Per State</t>
  </si>
  <si>
    <t>https://taxfoundation.org/data/all/state/state-distilled-spirits-taxes-2024/</t>
  </si>
  <si>
    <t>Auto fatalities per 100k</t>
  </si>
  <si>
    <t>https://www.iihs.org/research-areas/fatality-statistics/detail/state-by-state</t>
  </si>
  <si>
    <t>X_cm</t>
  </si>
  <si>
    <t>Ycm</t>
  </si>
  <si>
    <t>Point</t>
  </si>
  <si>
    <t>Ethanol</t>
  </si>
  <si>
    <t>Fatality</t>
  </si>
  <si>
    <t>This is duplecated point 16 to make 50 points, but only 49 are visiable in the original 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</si>
</sst>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371F3-762C-46E8-9F58-D2C8265E385A}" name="Table1" displayName="Table1" ref="A1:F52" totalsRowCount="1">
  <autoFilter ref="A1:F51" xr:uid="{078371F3-762C-46E8-9F58-D2C8265E385A}"/>
  <sortState xmlns:xlrd2="http://schemas.microsoft.com/office/spreadsheetml/2017/richdata2" ref="A2:F51">
    <sortCondition descending="1" ref="D1:D51"/>
  </sortState>
  <tableColumns count="6">
    <tableColumn id="1" xr3:uid="{DFB72E68-B467-46DD-A8A3-2BECA9A48AF5}" name="Point"/>
    <tableColumn id="19" xr3:uid="{AE315E68-6D09-46B7-8770-BA03CD765671}" name="X_cm"/>
    <tableColumn id="18" xr3:uid="{5E0F8DD0-9DBE-45B7-B323-208842811974}" name="Ycm"/>
    <tableColumn id="2" xr3:uid="{A51D0E5D-338E-40AF-AF12-02B7C24629B2}" name="Ethanol" dataDxfId="3" totalsRowDxfId="1"/>
    <tableColumn id="3" xr3:uid="{79B197B8-DC08-4AE7-8637-C59659777CDE}" name="Fatality" dataDxfId="2" totalsRowDxfId="0"/>
    <tableColumn id="4" xr3:uid="{051886B6-A50E-46BC-A8FB-5CD135D763FE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2AF3-E7CF-45F4-9313-DFE3D894D7FB}">
  <dimension ref="A1:F51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I28" sqref="I28"/>
    </sheetView>
  </sheetViews>
  <sheetFormatPr defaultRowHeight="15" x14ac:dyDescent="0.25"/>
  <cols>
    <col min="1" max="3" width="16" customWidth="1"/>
    <col min="4" max="4" width="26.42578125" style="1" customWidth="1"/>
    <col min="5" max="5" width="35.28515625" style="1" customWidth="1"/>
    <col min="6" max="6" width="15.140625" customWidth="1"/>
  </cols>
  <sheetData>
    <row r="1" spans="1:6" x14ac:dyDescent="0.25">
      <c r="A1" t="s">
        <v>9</v>
      </c>
      <c r="B1" t="s">
        <v>7</v>
      </c>
      <c r="C1" t="s">
        <v>8</v>
      </c>
      <c r="D1" s="1" t="s">
        <v>10</v>
      </c>
      <c r="E1" s="1" t="s">
        <v>11</v>
      </c>
      <c r="F1" t="s">
        <v>0</v>
      </c>
    </row>
    <row r="2" spans="1:6" x14ac:dyDescent="0.25">
      <c r="A2">
        <v>1</v>
      </c>
      <c r="B2">
        <v>4.38</v>
      </c>
      <c r="C2">
        <v>1.5</v>
      </c>
      <c r="D2" s="1">
        <f>+B2*6/19+1</f>
        <v>2.3831578947368421</v>
      </c>
      <c r="E2" s="1">
        <f>+C2*15/19+5</f>
        <v>6.1842105263157894</v>
      </c>
    </row>
    <row r="3" spans="1:6" x14ac:dyDescent="0.25">
      <c r="A3">
        <f>A2+1</f>
        <v>2</v>
      </c>
      <c r="B3">
        <v>3.25</v>
      </c>
      <c r="C3">
        <v>2.62</v>
      </c>
      <c r="D3" s="1">
        <f t="shared" ref="D3:D7" si="0">+B3*6/19+1</f>
        <v>2.0263157894736841</v>
      </c>
      <c r="E3" s="1">
        <f t="shared" ref="E3:E7" si="1">+C3*15/19+5</f>
        <v>7.0684210526315798</v>
      </c>
    </row>
    <row r="4" spans="1:6" x14ac:dyDescent="0.25">
      <c r="A4">
        <f t="shared" ref="A4:A51" si="2">A3+1</f>
        <v>3</v>
      </c>
      <c r="B4">
        <v>4.3</v>
      </c>
      <c r="C4">
        <v>2.8</v>
      </c>
      <c r="D4" s="1">
        <f t="shared" si="0"/>
        <v>2.357894736842105</v>
      </c>
      <c r="E4" s="1">
        <f t="shared" si="1"/>
        <v>7.2105263157894743</v>
      </c>
    </row>
    <row r="5" spans="1:6" x14ac:dyDescent="0.25">
      <c r="A5">
        <f t="shared" si="2"/>
        <v>4</v>
      </c>
      <c r="B5">
        <v>1.18</v>
      </c>
      <c r="C5">
        <v>3.05</v>
      </c>
      <c r="D5" s="1">
        <f t="shared" si="0"/>
        <v>1.3726315789473684</v>
      </c>
      <c r="E5" s="1">
        <f t="shared" si="1"/>
        <v>7.4078947368421053</v>
      </c>
    </row>
    <row r="6" spans="1:6" x14ac:dyDescent="0.25">
      <c r="A6">
        <f t="shared" si="2"/>
        <v>5</v>
      </c>
      <c r="B6">
        <v>3</v>
      </c>
      <c r="C6">
        <v>5</v>
      </c>
      <c r="D6" s="1">
        <f t="shared" si="0"/>
        <v>1.9473684210526314</v>
      </c>
      <c r="E6" s="1">
        <f t="shared" si="1"/>
        <v>8.9473684210526319</v>
      </c>
    </row>
    <row r="7" spans="1:6" x14ac:dyDescent="0.25">
      <c r="A7">
        <f t="shared" si="2"/>
        <v>6</v>
      </c>
      <c r="B7">
        <v>3.11</v>
      </c>
      <c r="C7">
        <v>3.55</v>
      </c>
      <c r="D7" s="1">
        <f t="shared" si="0"/>
        <v>1.9821052631578948</v>
      </c>
      <c r="E7" s="1">
        <f t="shared" si="1"/>
        <v>7.8026315789473681</v>
      </c>
    </row>
    <row r="8" spans="1:6" x14ac:dyDescent="0.25">
      <c r="A8">
        <f t="shared" si="2"/>
        <v>7</v>
      </c>
      <c r="B8">
        <v>3.12</v>
      </c>
      <c r="C8">
        <v>3.5</v>
      </c>
      <c r="D8" s="1">
        <f t="shared" ref="D8:D50" si="3">+B8*6/19+1</f>
        <v>1.9852631578947366</v>
      </c>
      <c r="E8" s="1">
        <f t="shared" ref="E8:E50" si="4">+C8*15/19+5</f>
        <v>7.7631578947368425</v>
      </c>
    </row>
    <row r="9" spans="1:6" x14ac:dyDescent="0.25">
      <c r="A9">
        <f t="shared" si="2"/>
        <v>8</v>
      </c>
      <c r="B9">
        <v>5.7</v>
      </c>
      <c r="C9">
        <v>3.95</v>
      </c>
      <c r="D9" s="1">
        <f t="shared" si="3"/>
        <v>2.8</v>
      </c>
      <c r="E9" s="1">
        <f t="shared" si="4"/>
        <v>8.1184210526315788</v>
      </c>
    </row>
    <row r="10" spans="1:6" x14ac:dyDescent="0.25">
      <c r="A10">
        <f t="shared" si="2"/>
        <v>9</v>
      </c>
      <c r="B10">
        <v>2.5499999999999998</v>
      </c>
      <c r="C10">
        <v>4.1500000000000004</v>
      </c>
      <c r="D10" s="1">
        <f t="shared" si="3"/>
        <v>1.8052631578947369</v>
      </c>
      <c r="E10" s="1">
        <f t="shared" si="4"/>
        <v>8.276315789473685</v>
      </c>
    </row>
    <row r="11" spans="1:6" x14ac:dyDescent="0.25">
      <c r="A11">
        <f t="shared" si="2"/>
        <v>10</v>
      </c>
      <c r="B11">
        <v>4.71</v>
      </c>
      <c r="C11">
        <v>4.16</v>
      </c>
      <c r="D11" s="1">
        <f t="shared" si="3"/>
        <v>2.4873684210526315</v>
      </c>
      <c r="E11" s="1">
        <f t="shared" si="4"/>
        <v>8.284210526315789</v>
      </c>
    </row>
    <row r="12" spans="1:6" x14ac:dyDescent="0.25">
      <c r="A12">
        <f t="shared" si="2"/>
        <v>11</v>
      </c>
      <c r="B12">
        <v>2.88</v>
      </c>
      <c r="C12">
        <v>4.3</v>
      </c>
      <c r="D12" s="1">
        <f t="shared" si="3"/>
        <v>1.9094736842105262</v>
      </c>
      <c r="E12" s="1">
        <f t="shared" si="4"/>
        <v>8.3947368421052637</v>
      </c>
    </row>
    <row r="13" spans="1:6" x14ac:dyDescent="0.25">
      <c r="A13">
        <f t="shared" si="2"/>
        <v>12</v>
      </c>
      <c r="B13">
        <v>2.1</v>
      </c>
      <c r="C13">
        <v>4.7</v>
      </c>
      <c r="D13" s="1">
        <f t="shared" si="3"/>
        <v>1.6631578947368422</v>
      </c>
      <c r="E13" s="1">
        <f t="shared" si="4"/>
        <v>8.7105263157894743</v>
      </c>
    </row>
    <row r="14" spans="1:6" x14ac:dyDescent="0.25">
      <c r="A14">
        <f t="shared" si="2"/>
        <v>13</v>
      </c>
      <c r="B14">
        <v>3.45</v>
      </c>
      <c r="C14">
        <v>4.7</v>
      </c>
      <c r="D14" s="1">
        <f t="shared" si="3"/>
        <v>2.0894736842105264</v>
      </c>
      <c r="E14" s="1">
        <f t="shared" si="4"/>
        <v>8.7105263157894743</v>
      </c>
    </row>
    <row r="15" spans="1:6" x14ac:dyDescent="0.25">
      <c r="A15">
        <f t="shared" si="2"/>
        <v>14</v>
      </c>
      <c r="B15">
        <v>5.99</v>
      </c>
      <c r="C15">
        <v>4.7</v>
      </c>
      <c r="D15" s="1">
        <f t="shared" si="3"/>
        <v>2.891578947368421</v>
      </c>
      <c r="E15" s="1">
        <f t="shared" si="4"/>
        <v>8.7105263157894743</v>
      </c>
    </row>
    <row r="16" spans="1:6" x14ac:dyDescent="0.25">
      <c r="A16">
        <f t="shared" si="2"/>
        <v>15</v>
      </c>
      <c r="B16">
        <v>5.2</v>
      </c>
      <c r="C16">
        <v>5.2</v>
      </c>
      <c r="D16" s="1">
        <f t="shared" si="3"/>
        <v>2.642105263157895</v>
      </c>
      <c r="E16" s="1">
        <f t="shared" si="4"/>
        <v>9.1052631578947363</v>
      </c>
    </row>
    <row r="17" spans="1:6" x14ac:dyDescent="0.25">
      <c r="A17">
        <f t="shared" si="2"/>
        <v>16</v>
      </c>
      <c r="B17">
        <v>2.4</v>
      </c>
      <c r="C17">
        <v>5.2</v>
      </c>
      <c r="D17" s="1">
        <f t="shared" si="3"/>
        <v>1.7578947368421052</v>
      </c>
      <c r="E17" s="1">
        <f t="shared" si="4"/>
        <v>9.1052631578947363</v>
      </c>
    </row>
    <row r="18" spans="1:6" x14ac:dyDescent="0.25">
      <c r="A18">
        <f t="shared" si="2"/>
        <v>17</v>
      </c>
      <c r="B18">
        <v>2.4500000000000002</v>
      </c>
      <c r="C18">
        <v>5.3</v>
      </c>
      <c r="D18" s="1">
        <f t="shared" si="3"/>
        <v>1.7736842105263158</v>
      </c>
      <c r="E18" s="1">
        <f t="shared" si="4"/>
        <v>9.1842105263157894</v>
      </c>
    </row>
    <row r="19" spans="1:6" x14ac:dyDescent="0.25">
      <c r="A19">
        <f t="shared" si="2"/>
        <v>18</v>
      </c>
      <c r="B19">
        <v>2.79</v>
      </c>
      <c r="C19">
        <v>5.3</v>
      </c>
      <c r="D19" s="1">
        <f t="shared" si="3"/>
        <v>1.8810526315789473</v>
      </c>
      <c r="E19" s="1">
        <f t="shared" si="4"/>
        <v>9.1842105263157894</v>
      </c>
    </row>
    <row r="20" spans="1:6" x14ac:dyDescent="0.25">
      <c r="A20">
        <f t="shared" si="2"/>
        <v>19</v>
      </c>
      <c r="B20">
        <v>3.52</v>
      </c>
      <c r="C20">
        <v>5.3</v>
      </c>
      <c r="D20" s="1">
        <f t="shared" si="3"/>
        <v>2.1115789473684208</v>
      </c>
      <c r="E20" s="1">
        <f t="shared" si="4"/>
        <v>9.1842105263157894</v>
      </c>
    </row>
    <row r="21" spans="1:6" x14ac:dyDescent="0.25">
      <c r="A21">
        <f t="shared" si="2"/>
        <v>20</v>
      </c>
      <c r="B21">
        <v>5.52</v>
      </c>
      <c r="C21">
        <v>5.69</v>
      </c>
      <c r="D21" s="1">
        <f t="shared" si="3"/>
        <v>2.743157894736842</v>
      </c>
      <c r="E21" s="1">
        <f t="shared" si="4"/>
        <v>9.4921052631578959</v>
      </c>
    </row>
    <row r="22" spans="1:6" x14ac:dyDescent="0.25">
      <c r="A22">
        <f t="shared" si="2"/>
        <v>21</v>
      </c>
      <c r="B22">
        <v>6.1</v>
      </c>
      <c r="C22">
        <v>5.83</v>
      </c>
      <c r="D22" s="1">
        <f t="shared" si="3"/>
        <v>2.926315789473684</v>
      </c>
      <c r="E22" s="1">
        <f t="shared" si="4"/>
        <v>9.6026315789473689</v>
      </c>
    </row>
    <row r="23" spans="1:6" x14ac:dyDescent="0.25">
      <c r="A23">
        <f t="shared" si="2"/>
        <v>22</v>
      </c>
      <c r="B23">
        <v>2.2000000000000002</v>
      </c>
      <c r="C23">
        <v>5.83</v>
      </c>
      <c r="D23" s="1">
        <f t="shared" si="3"/>
        <v>1.6947368421052631</v>
      </c>
      <c r="E23" s="1">
        <f t="shared" si="4"/>
        <v>9.6026315789473689</v>
      </c>
    </row>
    <row r="24" spans="1:6" x14ac:dyDescent="0.25">
      <c r="A24">
        <f t="shared" si="2"/>
        <v>23</v>
      </c>
      <c r="B24">
        <v>3</v>
      </c>
      <c r="C24">
        <v>5.83</v>
      </c>
      <c r="D24" s="1">
        <f t="shared" si="3"/>
        <v>1.9473684210526314</v>
      </c>
      <c r="E24" s="1">
        <f t="shared" si="4"/>
        <v>9.6026315789473689</v>
      </c>
    </row>
    <row r="25" spans="1:6" x14ac:dyDescent="0.25">
      <c r="A25">
        <f t="shared" si="2"/>
        <v>24</v>
      </c>
      <c r="B25">
        <v>6.51</v>
      </c>
      <c r="C25">
        <v>5.83</v>
      </c>
      <c r="D25" s="1">
        <f t="shared" si="3"/>
        <v>3.0557894736842108</v>
      </c>
      <c r="E25" s="1">
        <f t="shared" si="4"/>
        <v>9.6026315789473689</v>
      </c>
    </row>
    <row r="26" spans="1:6" x14ac:dyDescent="0.25">
      <c r="A26">
        <f t="shared" si="2"/>
        <v>25</v>
      </c>
      <c r="B26">
        <v>0.5</v>
      </c>
      <c r="C26">
        <v>6.32</v>
      </c>
      <c r="D26" s="1">
        <f t="shared" si="3"/>
        <v>1.1578947368421053</v>
      </c>
      <c r="E26" s="1">
        <f t="shared" si="4"/>
        <v>9.9894736842105267</v>
      </c>
    </row>
    <row r="27" spans="1:6" x14ac:dyDescent="0.25">
      <c r="A27">
        <f t="shared" si="2"/>
        <v>26</v>
      </c>
      <c r="B27">
        <v>1.82</v>
      </c>
      <c r="C27">
        <v>6.33</v>
      </c>
      <c r="D27" s="1">
        <f t="shared" si="3"/>
        <v>1.574736842105263</v>
      </c>
      <c r="E27" s="1">
        <f t="shared" si="4"/>
        <v>9.9973684210526308</v>
      </c>
    </row>
    <row r="28" spans="1:6" x14ac:dyDescent="0.25">
      <c r="A28">
        <f t="shared" si="2"/>
        <v>27</v>
      </c>
      <c r="B28">
        <v>3.3</v>
      </c>
      <c r="C28">
        <v>6.33</v>
      </c>
      <c r="D28" s="1">
        <f t="shared" si="3"/>
        <v>2.0421052631578949</v>
      </c>
      <c r="E28" s="1">
        <f t="shared" si="4"/>
        <v>9.9973684210526308</v>
      </c>
    </row>
    <row r="29" spans="1:6" x14ac:dyDescent="0.25">
      <c r="A29">
        <f t="shared" si="2"/>
        <v>28</v>
      </c>
      <c r="B29">
        <v>3.6</v>
      </c>
      <c r="C29">
        <v>6.85</v>
      </c>
      <c r="D29" s="1">
        <f t="shared" si="3"/>
        <v>2.1368421052631579</v>
      </c>
      <c r="E29" s="1">
        <f t="shared" si="4"/>
        <v>10.407894736842106</v>
      </c>
    </row>
    <row r="30" spans="1:6" x14ac:dyDescent="0.25">
      <c r="A30">
        <f t="shared" si="2"/>
        <v>29</v>
      </c>
      <c r="B30">
        <v>5.42</v>
      </c>
      <c r="C30">
        <v>6.85</v>
      </c>
      <c r="D30" s="1">
        <f t="shared" si="3"/>
        <v>2.7115789473684209</v>
      </c>
      <c r="E30" s="1">
        <f t="shared" si="4"/>
        <v>10.407894736842106</v>
      </c>
    </row>
    <row r="31" spans="1:6" x14ac:dyDescent="0.25">
      <c r="A31">
        <f t="shared" si="2"/>
        <v>30</v>
      </c>
      <c r="B31">
        <v>16.38</v>
      </c>
      <c r="C31">
        <v>6.85</v>
      </c>
      <c r="D31" s="1">
        <f t="shared" si="3"/>
        <v>6.1726315789473682</v>
      </c>
      <c r="E31" s="1">
        <f t="shared" si="4"/>
        <v>10.407894736842106</v>
      </c>
      <c r="F31" t="s">
        <v>2</v>
      </c>
    </row>
    <row r="32" spans="1:6" x14ac:dyDescent="0.25">
      <c r="A32">
        <f t="shared" si="2"/>
        <v>31</v>
      </c>
      <c r="B32">
        <v>7.65</v>
      </c>
      <c r="C32">
        <v>6.95</v>
      </c>
      <c r="D32" s="1">
        <f t="shared" si="3"/>
        <v>3.4157894736842107</v>
      </c>
      <c r="E32" s="1">
        <f t="shared" si="4"/>
        <v>10.486842105263158</v>
      </c>
    </row>
    <row r="33" spans="1:6" x14ac:dyDescent="0.25">
      <c r="A33">
        <f t="shared" si="2"/>
        <v>32</v>
      </c>
      <c r="B33">
        <v>4.4000000000000004</v>
      </c>
      <c r="C33">
        <v>7.46</v>
      </c>
      <c r="D33" s="1">
        <f t="shared" si="3"/>
        <v>2.3894736842105262</v>
      </c>
      <c r="E33" s="1">
        <f t="shared" si="4"/>
        <v>10.889473684210525</v>
      </c>
    </row>
    <row r="34" spans="1:6" x14ac:dyDescent="0.25">
      <c r="A34">
        <f t="shared" si="2"/>
        <v>33</v>
      </c>
      <c r="B34">
        <v>9.85</v>
      </c>
      <c r="C34">
        <v>7.6</v>
      </c>
      <c r="D34" s="1">
        <f t="shared" si="3"/>
        <v>4.1105263157894729</v>
      </c>
      <c r="E34" s="1">
        <f t="shared" si="4"/>
        <v>11</v>
      </c>
    </row>
    <row r="35" spans="1:6" x14ac:dyDescent="0.25">
      <c r="A35">
        <f t="shared" si="2"/>
        <v>34</v>
      </c>
      <c r="B35">
        <v>4.55</v>
      </c>
      <c r="C35">
        <v>7.75</v>
      </c>
      <c r="D35" s="1">
        <f t="shared" si="3"/>
        <v>2.4368421052631577</v>
      </c>
      <c r="E35" s="1">
        <f t="shared" si="4"/>
        <v>11.118421052631579</v>
      </c>
    </row>
    <row r="36" spans="1:6" x14ac:dyDescent="0.25">
      <c r="A36">
        <f t="shared" si="2"/>
        <v>35</v>
      </c>
      <c r="B36">
        <v>6.78</v>
      </c>
      <c r="C36">
        <v>8.5</v>
      </c>
      <c r="D36" s="1">
        <f t="shared" si="3"/>
        <v>3.1410526315789475</v>
      </c>
      <c r="E36" s="1">
        <f t="shared" si="4"/>
        <v>11.710526315789473</v>
      </c>
    </row>
    <row r="37" spans="1:6" x14ac:dyDescent="0.25">
      <c r="A37">
        <f t="shared" si="2"/>
        <v>36</v>
      </c>
      <c r="B37">
        <v>2.2999999999999998</v>
      </c>
      <c r="C37">
        <v>8.85</v>
      </c>
      <c r="D37" s="1">
        <f t="shared" si="3"/>
        <v>1.7263157894736842</v>
      </c>
      <c r="E37" s="1">
        <f t="shared" si="4"/>
        <v>11.986842105263158</v>
      </c>
    </row>
    <row r="38" spans="1:6" x14ac:dyDescent="0.25">
      <c r="A38">
        <f t="shared" si="2"/>
        <v>37</v>
      </c>
      <c r="B38">
        <v>5.15</v>
      </c>
      <c r="C38">
        <v>9.5</v>
      </c>
      <c r="D38" s="1">
        <f t="shared" si="3"/>
        <v>2.6263157894736846</v>
      </c>
      <c r="E38" s="1">
        <f t="shared" si="4"/>
        <v>12.5</v>
      </c>
    </row>
    <row r="39" spans="1:6" x14ac:dyDescent="0.25">
      <c r="A39">
        <f t="shared" si="2"/>
        <v>38</v>
      </c>
      <c r="B39">
        <v>6.95</v>
      </c>
      <c r="C39">
        <v>10.08</v>
      </c>
      <c r="D39" s="1">
        <f t="shared" si="3"/>
        <v>3.1947368421052631</v>
      </c>
      <c r="E39" s="1">
        <f>+C40*15/19+5</f>
        <v>13.06842105263158</v>
      </c>
    </row>
    <row r="40" spans="1:6" x14ac:dyDescent="0.25">
      <c r="A40">
        <f t="shared" si="2"/>
        <v>39</v>
      </c>
      <c r="B40">
        <v>1.95</v>
      </c>
      <c r="C40">
        <v>10.220000000000001</v>
      </c>
      <c r="D40" s="1">
        <f t="shared" si="3"/>
        <v>1.6157894736842104</v>
      </c>
      <c r="E40" s="1">
        <f>+C41*15/19+5</f>
        <v>13.092105263157896</v>
      </c>
    </row>
    <row r="41" spans="1:6" x14ac:dyDescent="0.25">
      <c r="A41">
        <f t="shared" si="2"/>
        <v>40</v>
      </c>
      <c r="B41">
        <v>6.15</v>
      </c>
      <c r="C41">
        <v>10.25</v>
      </c>
      <c r="D41" s="1">
        <f t="shared" si="3"/>
        <v>2.9421052631578952</v>
      </c>
      <c r="E41" s="1">
        <f t="shared" si="4"/>
        <v>13.092105263157896</v>
      </c>
    </row>
    <row r="42" spans="1:6" x14ac:dyDescent="0.25">
      <c r="A42">
        <f t="shared" si="2"/>
        <v>41</v>
      </c>
      <c r="B42">
        <v>6.48</v>
      </c>
      <c r="C42">
        <v>10.25</v>
      </c>
      <c r="D42" s="1">
        <f t="shared" si="3"/>
        <v>3.0463157894736845</v>
      </c>
      <c r="E42" s="1">
        <f t="shared" si="4"/>
        <v>13.092105263157896</v>
      </c>
    </row>
    <row r="43" spans="1:6" x14ac:dyDescent="0.25">
      <c r="A43">
        <f t="shared" si="2"/>
        <v>42</v>
      </c>
      <c r="B43">
        <v>5.3</v>
      </c>
      <c r="C43">
        <v>10.6</v>
      </c>
      <c r="D43" s="1">
        <f t="shared" si="3"/>
        <v>2.6736842105263157</v>
      </c>
      <c r="E43" s="1">
        <f t="shared" si="4"/>
        <v>13.368421052631579</v>
      </c>
    </row>
    <row r="44" spans="1:6" x14ac:dyDescent="0.25">
      <c r="A44">
        <f t="shared" si="2"/>
        <v>43</v>
      </c>
      <c r="B44">
        <v>4.95</v>
      </c>
      <c r="C44">
        <v>10.62</v>
      </c>
      <c r="D44" s="1">
        <f t="shared" si="3"/>
        <v>2.5631578947368423</v>
      </c>
      <c r="E44" s="1">
        <f t="shared" si="4"/>
        <v>13.384210526315789</v>
      </c>
    </row>
    <row r="45" spans="1:6" x14ac:dyDescent="0.25">
      <c r="A45">
        <f t="shared" si="2"/>
        <v>44</v>
      </c>
      <c r="B45">
        <v>6</v>
      </c>
      <c r="C45">
        <v>11.6</v>
      </c>
      <c r="D45" s="1">
        <f t="shared" si="3"/>
        <v>2.8947368421052628</v>
      </c>
      <c r="E45" s="1">
        <f t="shared" si="4"/>
        <v>14.157894736842104</v>
      </c>
    </row>
    <row r="46" spans="1:6" x14ac:dyDescent="0.25">
      <c r="A46">
        <f t="shared" si="2"/>
        <v>45</v>
      </c>
      <c r="B46">
        <v>5.28</v>
      </c>
      <c r="C46">
        <v>12</v>
      </c>
      <c r="D46" s="1">
        <f t="shared" si="3"/>
        <v>2.6673684210526316</v>
      </c>
      <c r="E46" s="1">
        <f t="shared" si="4"/>
        <v>14.473684210526315</v>
      </c>
    </row>
    <row r="47" spans="1:6" x14ac:dyDescent="0.25">
      <c r="A47">
        <f t="shared" si="2"/>
        <v>46</v>
      </c>
      <c r="B47">
        <v>16.68</v>
      </c>
      <c r="C47">
        <v>13.15</v>
      </c>
      <c r="D47" s="1">
        <f t="shared" si="3"/>
        <v>6.2673684210526313</v>
      </c>
      <c r="E47" s="1">
        <f t="shared" si="4"/>
        <v>15.381578947368421</v>
      </c>
      <c r="F47" t="s">
        <v>1</v>
      </c>
    </row>
    <row r="48" spans="1:6" x14ac:dyDescent="0.25">
      <c r="A48">
        <f t="shared" si="2"/>
        <v>47</v>
      </c>
      <c r="B48">
        <v>5.52</v>
      </c>
      <c r="C48">
        <v>14.8</v>
      </c>
      <c r="D48" s="1">
        <f t="shared" si="3"/>
        <v>2.743157894736842</v>
      </c>
      <c r="E48" s="1">
        <f t="shared" si="4"/>
        <v>16.684210526315788</v>
      </c>
    </row>
    <row r="49" spans="1:6" x14ac:dyDescent="0.25">
      <c r="A49">
        <f t="shared" si="2"/>
        <v>48</v>
      </c>
      <c r="B49">
        <v>6.38</v>
      </c>
      <c r="C49">
        <v>15.4</v>
      </c>
      <c r="D49" s="1">
        <f t="shared" si="3"/>
        <v>3.0147368421052634</v>
      </c>
      <c r="E49" s="1">
        <f t="shared" si="4"/>
        <v>17.157894736842103</v>
      </c>
    </row>
    <row r="50" spans="1:6" x14ac:dyDescent="0.25">
      <c r="A50">
        <f t="shared" si="2"/>
        <v>49</v>
      </c>
      <c r="B50">
        <v>5.39</v>
      </c>
      <c r="C50">
        <v>16.100000000000001</v>
      </c>
      <c r="D50" s="1">
        <f t="shared" si="3"/>
        <v>2.7021052631578946</v>
      </c>
      <c r="E50" s="1">
        <f t="shared" si="4"/>
        <v>17.710526315789473</v>
      </c>
    </row>
    <row r="51" spans="1:6" x14ac:dyDescent="0.25">
      <c r="A51">
        <f t="shared" si="2"/>
        <v>50</v>
      </c>
      <c r="B51">
        <v>2.4</v>
      </c>
      <c r="C51">
        <v>5.2</v>
      </c>
      <c r="D51" s="1">
        <f t="shared" ref="D51" si="5">+B51*6/19+1</f>
        <v>1.7578947368421052</v>
      </c>
      <c r="E51" s="1">
        <f t="shared" ref="E51" si="6">+C51*15/19+5</f>
        <v>9.1052631578947363</v>
      </c>
      <c r="F51" t="s">
        <v>12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8992-0CFC-451B-BE2C-010CB9E69988}">
  <dimension ref="A2:D4"/>
  <sheetViews>
    <sheetView workbookViewId="0">
      <selection activeCell="R20" sqref="R20"/>
    </sheetView>
  </sheetViews>
  <sheetFormatPr defaultRowHeight="15" x14ac:dyDescent="0.25"/>
  <sheetData>
    <row r="2" spans="1:4" x14ac:dyDescent="0.25">
      <c r="A2" t="s">
        <v>3</v>
      </c>
      <c r="D2" t="s">
        <v>4</v>
      </c>
    </row>
    <row r="4" spans="1:4" x14ac:dyDescent="0.25">
      <c r="A4" t="s">
        <v>5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WilkinsonData2023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 Gallagher</cp:lastModifiedBy>
  <dcterms:created xsi:type="dcterms:W3CDTF">2025-07-05T02:19:32Z</dcterms:created>
  <dcterms:modified xsi:type="dcterms:W3CDTF">2025-12-31T16:11:18Z</dcterms:modified>
</cp:coreProperties>
</file>