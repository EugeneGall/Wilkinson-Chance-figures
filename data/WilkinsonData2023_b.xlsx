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nus\Wilkinson Graphics\R\data\"/>
    </mc:Choice>
  </mc:AlternateContent>
  <xr:revisionPtr revIDLastSave="0" documentId="13_ncr:1_{7EB550FE-04BB-4EA4-8A15-6727167484D2}" xr6:coauthVersionLast="47" xr6:coauthVersionMax="47" xr10:uidLastSave="{00000000-0000-0000-0000-000000000000}"/>
  <bookViews>
    <workbookView xWindow="-120" yWindow="-120" windowWidth="29040" windowHeight="15720" xr2:uid="{04AAA577-1F10-46E7-B65C-247E8CAA08A4}"/>
  </bookViews>
  <sheets>
    <sheet name="WilkinsonData2023" sheetId="1" r:id="rId1"/>
    <sheet name="Data Sourc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45" i="1" l="1"/>
  <c r="W31" i="1"/>
  <c r="W14" i="1"/>
  <c r="W46" i="1"/>
  <c r="W11" i="1"/>
  <c r="W23" i="1"/>
  <c r="W8" i="1"/>
  <c r="W2" i="1"/>
  <c r="W24" i="1"/>
  <c r="W18" i="1"/>
  <c r="W21" i="1"/>
  <c r="W44" i="1"/>
  <c r="W22" i="1"/>
  <c r="W29" i="1"/>
  <c r="W48" i="1"/>
  <c r="W27" i="1"/>
  <c r="W37" i="1"/>
  <c r="W15" i="1"/>
  <c r="W41" i="1"/>
  <c r="W10" i="1"/>
  <c r="W7" i="1"/>
  <c r="W34" i="1"/>
  <c r="W35" i="1"/>
  <c r="W12" i="1"/>
  <c r="W28" i="1"/>
  <c r="W51" i="1"/>
  <c r="W40" i="1"/>
  <c r="W19" i="1"/>
  <c r="W42" i="1"/>
  <c r="W4" i="1"/>
  <c r="W25" i="1"/>
  <c r="W3" i="1"/>
  <c r="W13" i="1"/>
  <c r="W47" i="1"/>
  <c r="W30" i="1"/>
  <c r="W16" i="1"/>
  <c r="W32" i="1"/>
  <c r="W17" i="1"/>
  <c r="W6" i="1"/>
  <c r="W38" i="1"/>
  <c r="W50" i="1"/>
  <c r="W36" i="1"/>
  <c r="W9" i="1"/>
  <c r="W20" i="1"/>
  <c r="W33" i="1"/>
  <c r="W26" i="1"/>
  <c r="W43" i="1"/>
  <c r="W5" i="1"/>
  <c r="W39" i="1"/>
  <c r="W49" i="1"/>
  <c r="S45" i="1"/>
  <c r="T45" i="1" s="1"/>
  <c r="S31" i="1"/>
  <c r="T31" i="1" s="1"/>
  <c r="S14" i="1"/>
  <c r="T14" i="1" s="1"/>
  <c r="S46" i="1"/>
  <c r="T46" i="1" s="1"/>
  <c r="S11" i="1"/>
  <c r="T11" i="1" s="1"/>
  <c r="S23" i="1"/>
  <c r="T23" i="1" s="1"/>
  <c r="S8" i="1"/>
  <c r="T8" i="1" s="1"/>
  <c r="S2" i="1"/>
  <c r="T2" i="1" s="1"/>
  <c r="S24" i="1"/>
  <c r="T24" i="1" s="1"/>
  <c r="S18" i="1"/>
  <c r="T18" i="1" s="1"/>
  <c r="S21" i="1"/>
  <c r="T21" i="1" s="1"/>
  <c r="S44" i="1"/>
  <c r="T44" i="1" s="1"/>
  <c r="S22" i="1"/>
  <c r="T22" i="1" s="1"/>
  <c r="S29" i="1"/>
  <c r="T29" i="1" s="1"/>
  <c r="S48" i="1"/>
  <c r="T48" i="1" s="1"/>
  <c r="S27" i="1"/>
  <c r="T27" i="1" s="1"/>
  <c r="S37" i="1"/>
  <c r="T37" i="1" s="1"/>
  <c r="S15" i="1"/>
  <c r="T15" i="1" s="1"/>
  <c r="S41" i="1"/>
  <c r="T41" i="1" s="1"/>
  <c r="S10" i="1"/>
  <c r="T10" i="1" s="1"/>
  <c r="S7" i="1"/>
  <c r="T7" i="1" s="1"/>
  <c r="S34" i="1"/>
  <c r="T34" i="1" s="1"/>
  <c r="S35" i="1"/>
  <c r="T35" i="1" s="1"/>
  <c r="S12" i="1"/>
  <c r="T12" i="1" s="1"/>
  <c r="S28" i="1"/>
  <c r="T28" i="1" s="1"/>
  <c r="S51" i="1"/>
  <c r="T51" i="1" s="1"/>
  <c r="S40" i="1"/>
  <c r="T40" i="1" s="1"/>
  <c r="S19" i="1"/>
  <c r="T19" i="1" s="1"/>
  <c r="S42" i="1"/>
  <c r="T42" i="1" s="1"/>
  <c r="S4" i="1"/>
  <c r="T4" i="1" s="1"/>
  <c r="S25" i="1"/>
  <c r="T25" i="1" s="1"/>
  <c r="S3" i="1"/>
  <c r="T3" i="1" s="1"/>
  <c r="S13" i="1"/>
  <c r="T13" i="1" s="1"/>
  <c r="S47" i="1"/>
  <c r="T47" i="1" s="1"/>
  <c r="S30" i="1"/>
  <c r="T30" i="1" s="1"/>
  <c r="S16" i="1"/>
  <c r="T16" i="1" s="1"/>
  <c r="S32" i="1"/>
  <c r="T32" i="1" s="1"/>
  <c r="S17" i="1"/>
  <c r="T17" i="1" s="1"/>
  <c r="S6" i="1"/>
  <c r="T6" i="1" s="1"/>
  <c r="S38" i="1"/>
  <c r="T38" i="1" s="1"/>
  <c r="S50" i="1"/>
  <c r="T50" i="1" s="1"/>
  <c r="S36" i="1"/>
  <c r="T36" i="1" s="1"/>
  <c r="S9" i="1"/>
  <c r="T9" i="1" s="1"/>
  <c r="S20" i="1"/>
  <c r="T20" i="1" s="1"/>
  <c r="S33" i="1"/>
  <c r="T33" i="1" s="1"/>
  <c r="S26" i="1"/>
  <c r="T26" i="1" s="1"/>
  <c r="S43" i="1"/>
  <c r="T43" i="1" s="1"/>
  <c r="S5" i="1"/>
  <c r="T5" i="1" s="1"/>
  <c r="S39" i="1"/>
  <c r="T39" i="1" s="1"/>
  <c r="S49" i="1"/>
  <c r="T49" i="1" s="1"/>
  <c r="N45" i="1"/>
  <c r="N31" i="1"/>
  <c r="N14" i="1"/>
  <c r="N46" i="1"/>
  <c r="N11" i="1"/>
  <c r="N23" i="1"/>
  <c r="N8" i="1"/>
  <c r="N2" i="1"/>
  <c r="N24" i="1"/>
  <c r="N18" i="1"/>
  <c r="N21" i="1"/>
  <c r="N44" i="1"/>
  <c r="N22" i="1"/>
  <c r="N29" i="1"/>
  <c r="N48" i="1"/>
  <c r="N27" i="1"/>
  <c r="N37" i="1"/>
  <c r="N15" i="1"/>
  <c r="N41" i="1"/>
  <c r="N10" i="1"/>
  <c r="N7" i="1"/>
  <c r="N34" i="1"/>
  <c r="N35" i="1"/>
  <c r="N12" i="1"/>
  <c r="N28" i="1"/>
  <c r="N51" i="1"/>
  <c r="N40" i="1"/>
  <c r="N19" i="1"/>
  <c r="N42" i="1"/>
  <c r="N4" i="1"/>
  <c r="N25" i="1"/>
  <c r="N3" i="1"/>
  <c r="N13" i="1"/>
  <c r="N47" i="1"/>
  <c r="N30" i="1"/>
  <c r="N16" i="1"/>
  <c r="N32" i="1"/>
  <c r="N17" i="1"/>
  <c r="N6" i="1"/>
  <c r="N38" i="1"/>
  <c r="N50" i="1"/>
  <c r="N36" i="1"/>
  <c r="N9" i="1"/>
  <c r="N20" i="1"/>
  <c r="N33" i="1"/>
  <c r="N26" i="1"/>
  <c r="N43" i="1"/>
  <c r="N5" i="1"/>
  <c r="N39" i="1"/>
  <c r="N49" i="1"/>
</calcChain>
</file>

<file path=xl/sharedStrings.xml><?xml version="1.0" encoding="utf-8"?>
<sst xmlns="http://schemas.openxmlformats.org/spreadsheetml/2006/main" count="88" uniqueCount="88">
  <si>
    <t>State</t>
  </si>
  <si>
    <t>Ethanol Consumption (Gal)</t>
  </si>
  <si>
    <t>Alcohol-related Driving Fatalities (%)</t>
  </si>
  <si>
    <t>AI%</t>
  </si>
  <si>
    <t>Speed_Limit</t>
  </si>
  <si>
    <t>Sales_Tax</t>
  </si>
  <si>
    <t>Population</t>
  </si>
  <si>
    <t>Vehicle_Mile_ Traveled</t>
  </si>
  <si>
    <t>Deaths</t>
  </si>
  <si>
    <t>Deaths_per_100000</t>
  </si>
  <si>
    <t>Deaths_per_100_million_vehicle_miles_traveled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</si>
  <si>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</si>
  <si>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</si>
  <si>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</si>
  <si>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</si>
  <si>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</si>
  <si>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</si>
  <si>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</si>
  <si>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</si>
  <si>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</si>
  <si>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</si>
  <si>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</si>
  <si>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</si>
  <si>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</si>
  <si>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</si>
  <si>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</si>
  <si>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</si>
  <si>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</si>
  <si>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</si>
  <si>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</si>
  <si>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</si>
  <si>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</si>
  <si>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</si>
  <si>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</si>
  <si>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</si>
  <si>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</si>
  <si>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</si>
  <si>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</si>
  <si>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</si>
  <si>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</si>
  <si>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</si>
  <si>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</si>
  <si>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</si>
  <si>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</si>
  <si>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</si>
  <si>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</si>
  <si>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</si>
  <si>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</si>
  <si>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</si>
  <si>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</si>
  <si>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</si>
  <si>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</si>
  <si>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</si>
  <si>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</si>
  <si>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</si>
  <si>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</si>
  <si>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</si>
  <si>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</si>
  <si>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</si>
  <si>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</si>
  <si>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</si>
  <si>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AFRp100k</t>
  </si>
  <si>
    <t>Vehicles_per_person</t>
  </si>
  <si>
    <t>Excise Taxes Per State</t>
  </si>
  <si>
    <t>https://taxfoundation.org/data/all/state/state-distilled-spirits-taxes-2024/</t>
  </si>
  <si>
    <t>Excise_Tax_per_Gallon</t>
  </si>
  <si>
    <t>https://www.iihs.org/research-areas/fatality-statistics/detail/state-by-state</t>
  </si>
  <si>
    <t>Liver Disease Deaths 2023</t>
  </si>
  <si>
    <t>Liver Disease Rate 2023</t>
  </si>
  <si>
    <t>Liver Disease Rate 2022</t>
  </si>
  <si>
    <t>https://worldpopulationreview.com/state-rankings/alcohol-consumption-by-state</t>
  </si>
  <si>
    <t xml:space="preserve">Ethanol consumptinion &amp; Driving fatalities involving alchol </t>
  </si>
  <si>
    <t>Populatoin and auto fatalities per 100k rate and number</t>
  </si>
  <si>
    <t>https://www.census.gov/data/datasets/time-series/demo/popest/2020s-national-total.html</t>
  </si>
  <si>
    <t>US 2023 Population Size</t>
  </si>
  <si>
    <t>https://www.cdc.gov/nchs/state-stats/deaths/liver-disease.html</t>
  </si>
  <si>
    <t>CDC liver-disease Numbers and mortality rates</t>
  </si>
  <si>
    <t>Websites &amp; URL's</t>
  </si>
  <si>
    <t>Census Population</t>
  </si>
  <si>
    <t>Ratio census/alcohol</t>
  </si>
  <si>
    <t>Native American Population by State</t>
  </si>
  <si>
    <t>https://worldpopulationreview.com/state-rankings/native-american-population</t>
  </si>
  <si>
    <t>Population 2022</t>
  </si>
  <si>
    <t>Liver Disease Deaths 2022</t>
  </si>
  <si>
    <t>Alc_Auto_Deaths</t>
  </si>
  <si>
    <t>Total_drunk_drivers_killed</t>
  </si>
  <si>
    <t>Total_ drivers_killed</t>
  </si>
  <si>
    <t>Drivers Killed Drunk Prop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</si>
</sst>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rgb="FF202122"/>
      <name val="Arial"/>
      <family val="2"/>
    </font>
    <font>
      <sz val="14"/>
      <color rgb="FF162127"/>
      <name val="Courier New"/>
      <family val="3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MS sans serif"/>
    </font>
    <font>
      <sz val="9.9"/>
      <color rgb="FF363636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8F9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F5F5F7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A2A9B1"/>
      </left>
      <right/>
      <top/>
      <bottom/>
      <diagonal/>
    </border>
    <border>
      <left style="medium">
        <color rgb="FFA2A9B1"/>
      </left>
      <right/>
      <top style="medium">
        <color rgb="FFA2A9B1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E0E0E0"/>
      </left>
      <right style="medium">
        <color rgb="FFE0E0E0"/>
      </right>
      <top style="medium">
        <color rgb="FFE0E0E0"/>
      </top>
      <bottom style="medium">
        <color rgb="FFE0E0E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0" borderId="0" applyNumberFormat="0" applyFill="0" applyBorder="0" applyAlignment="0" applyProtection="0"/>
  </cellStyleXfs>
  <cellXfs count="14">
    <xf numFmtId="0" fontId="0" fillId="0" borderId="0" xfId="0"/>
    <xf numFmtId="3" fontId="0" fillId="0" borderId="0" xfId="0" applyNumberFormat="1"/>
    <xf numFmtId="0" fontId="18" fillId="33" borderId="10" xfId="0" applyFont="1" applyFill="1" applyBorder="1" applyAlignment="1">
      <alignment vertical="center" wrapText="1"/>
    </xf>
    <xf numFmtId="0" fontId="18" fillId="33" borderId="11" xfId="0" applyFont="1" applyFill="1" applyBorder="1" applyAlignment="1">
      <alignment vertical="center" wrapText="1"/>
    </xf>
    <xf numFmtId="0" fontId="19" fillId="35" borderId="12" xfId="0" applyFont="1" applyFill="1" applyBorder="1" applyAlignment="1">
      <alignment vertical="center" wrapText="1"/>
    </xf>
    <xf numFmtId="0" fontId="19" fillId="34" borderId="12" xfId="0" applyFont="1" applyFill="1" applyBorder="1" applyAlignment="1">
      <alignment vertical="center" wrapText="1"/>
    </xf>
    <xf numFmtId="4" fontId="0" fillId="0" borderId="0" xfId="0" applyNumberFormat="1"/>
    <xf numFmtId="0" fontId="21" fillId="0" borderId="0" xfId="42"/>
    <xf numFmtId="0" fontId="16" fillId="0" borderId="0" xfId="0" applyFont="1"/>
    <xf numFmtId="3" fontId="22" fillId="0" borderId="13" xfId="0" applyNumberFormat="1" applyFont="1" applyBorder="1" applyAlignment="1" applyProtection="1">
      <alignment horizontal="right"/>
      <protection locked="0"/>
    </xf>
    <xf numFmtId="0" fontId="23" fillId="34" borderId="14" xfId="0" applyFont="1" applyFill="1" applyBorder="1" applyAlignment="1">
      <alignment horizontal="center" vertical="center" wrapText="1"/>
    </xf>
    <xf numFmtId="0" fontId="23" fillId="36" borderId="14" xfId="0" applyFont="1" applyFill="1" applyBorder="1" applyAlignment="1">
      <alignment horizontal="center" vertical="center" wrapText="1"/>
    </xf>
    <xf numFmtId="3" fontId="23" fillId="34" borderId="14" xfId="0" applyNumberFormat="1" applyFont="1" applyFill="1" applyBorder="1" applyAlignment="1">
      <alignment horizontal="center" vertical="center" wrapText="1"/>
    </xf>
    <xf numFmtId="3" fontId="23" fillId="36" borderId="14" xfId="0" applyNumberFormat="1" applyFont="1" applyFill="1" applyBorder="1" applyAlignment="1">
      <alignment horizontal="center"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8"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02122"/>
        <name val="Arial"/>
        <family val="2"/>
        <scheme val="none"/>
      </font>
      <numFmt numFmtId="0" formatCode="General"/>
      <fill>
        <patternFill patternType="solid">
          <fgColor indexed="64"/>
          <bgColor rgb="FFF8F9FA"/>
        </patternFill>
      </fill>
      <alignment horizontal="general" vertical="center" textRotation="0" wrapText="1" indent="0" justifyLastLine="0" shrinkToFit="0" readingOrder="0"/>
      <border diagonalUp="0" diagonalDown="0" outline="0">
        <left style="medium">
          <color rgb="FFA2A9B1"/>
        </left>
        <right/>
        <top style="medium">
          <color rgb="FFA2A9B1"/>
        </top>
        <bottom/>
      </border>
    </dxf>
    <dxf>
      <font>
        <sz val="12"/>
        <color rgb="FF202122"/>
        <name val="Arial"/>
        <family val="2"/>
        <scheme val="none"/>
      </font>
      <numFmt numFmtId="0" formatCode="General"/>
      <fill>
        <patternFill patternType="solid">
          <fgColor indexed="64"/>
          <bgColor rgb="FFF8F9FA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A2A9B1"/>
        </left>
        <right/>
        <top style="medium">
          <color rgb="FFA2A9B1"/>
        </top>
        <bottom/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"/>
        <color rgb="FF363636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"/>
        <color rgb="FF363636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E0E0E0"/>
        </left>
        <right style="medium">
          <color rgb="FFE0E0E0"/>
        </right>
        <top style="medium">
          <color rgb="FFE0E0E0"/>
        </top>
        <bottom style="medium">
          <color rgb="FFE0E0E0"/>
        </bottom>
        <vertical/>
        <horizontal/>
      </border>
    </dxf>
    <dxf>
      <numFmt numFmtId="3" formatCode="#,##0"/>
    </dxf>
    <dxf>
      <numFmt numFmtId="3" formatCode="#,##0"/>
    </dxf>
    <dxf>
      <numFmt numFmtId="14" formatCode="0.00%"/>
    </dxf>
    <dxf>
      <numFmt numFmtId="4" formatCode="#,##0.0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8371F3-762C-46E8-9F58-D2C8265E385A}" name="Table1" displayName="Table1" ref="A1:Y51" totalsRowShown="0">
  <autoFilter ref="A1:Y51" xr:uid="{078371F3-762C-46E8-9F58-D2C8265E385A}"/>
  <sortState xmlns:xlrd2="http://schemas.microsoft.com/office/spreadsheetml/2017/richdata2" ref="A2:Y51">
    <sortCondition ref="X1:X51"/>
  </sortState>
  <tableColumns count="25">
    <tableColumn id="1" xr3:uid="{DFB72E68-B467-46DD-A8A3-2BECA9A48AF5}" name="State"/>
    <tableColumn id="2" xr3:uid="{A51D0E5D-338E-40AF-AF12-02B7C24629B2}" name="Ethanol Consumption (Gal)"/>
    <tableColumn id="3" xr3:uid="{79B197B8-DC08-4AE7-8637-C59659777CDE}" name="Alcohol-related Driving Fatalities (%)"/>
    <tableColumn id="4" xr3:uid="{051886B6-A50E-46BC-A8FB-5CD135D763FE}" name="AI%"/>
    <tableColumn id="5" xr3:uid="{72B192D6-5896-42D3-8886-6A000F70F296}" name="Liver Disease Rate 2022"/>
    <tableColumn id="22" xr3:uid="{18779EA2-6C76-46DC-8A05-3017C3F32CE2}" name="Liver Disease Deaths 2022"/>
    <tableColumn id="18" xr3:uid="{96293A5F-05B3-456B-BB34-B1667CC75F10}" name="Liver Disease Deaths 2023"/>
    <tableColumn id="19" xr3:uid="{AABA0572-C0C1-472F-8134-1A2C246E8E8D}" name="Liver Disease Rate 2023"/>
    <tableColumn id="6" xr3:uid="{CF25E706-2658-4F50-A403-27552EACBB6F}" name="Speed_Limit"/>
    <tableColumn id="7" xr3:uid="{182367E0-3C97-4067-BDE3-E02637668E62}" name="Sales_Tax"/>
    <tableColumn id="20" xr3:uid="{7C9D5449-50ED-409D-AFBC-07096D400A12}" name="Population 2022" dataDxfId="17"/>
    <tableColumn id="8" xr3:uid="{EC3DDC5B-F8A3-441C-8A23-D705CE04BE8C}" name="Population" dataDxfId="16" totalsRowDxfId="15"/>
    <tableColumn id="24" xr3:uid="{0018A9E8-B2E5-46AA-9759-17537C9EECCA}" name="Census Population" dataDxfId="14" totalsRowDxfId="13"/>
    <tableColumn id="25" xr3:uid="{12CEB413-7603-49D5-8584-85936C54F151}" name="Ratio census/alcohol" dataDxfId="12" totalsRowDxfId="11">
      <calculatedColumnFormula>+Table1[[#This Row],[Census Population]]/Table1[[#This Row],[Population]]</calculatedColumnFormula>
    </tableColumn>
    <tableColumn id="9" xr3:uid="{3812C37C-B607-4DB6-BE57-B1D413B73647}" name="Vehicle_Mile_ Traveled" dataDxfId="10" totalsRowDxfId="9"/>
    <tableColumn id="10" xr3:uid="{89DDB0E9-AA19-4A16-A85D-E7E2117AF963}" name="Deaths"/>
    <tableColumn id="14" xr3:uid="{CEF20B50-B9C3-4808-8005-DAB297F87177}" name="Total_ drivers_killed" dataDxfId="8"/>
    <tableColumn id="26" xr3:uid="{C9B66A54-31F5-4B14-8CD0-BEC9578D2567}" name="Total_drunk_drivers_killed" dataDxfId="7"/>
    <tableColumn id="27" xr3:uid="{1FC843DB-A5A4-4C08-98B5-2921D70E3623}" name="Drivers Killed Drunk Prop" dataDxfId="6">
      <calculatedColumnFormula>Table1[[#This Row],[Total_drunk_drivers_killed]]/Table1[[#This Row],[Total_ drivers_killed]]</calculatedColumnFormula>
    </tableColumn>
    <tableColumn id="28" xr3:uid="{E45286B1-2D54-4771-B5CC-7BC7E4051BBE}" name="Alc_Auto_Deaths" dataDxfId="5">
      <calculatedColumnFormula>ROUND(Table1[[#This Row],[Drivers Killed Drunk Prop]]*Table1[[#This Row],[Deaths]],0)</calculatedColumnFormula>
    </tableColumn>
    <tableColumn id="11" xr3:uid="{7A67719D-0276-4CD1-99DF-20BE73813C3F}" name="Deaths_per_100000"/>
    <tableColumn id="12" xr3:uid="{F237115F-E3ED-4492-8A25-12BB6A15D114}" name="Deaths_per_100_million_vehicle_miles_traveled"/>
    <tableColumn id="29" xr3:uid="{903ECC5C-4DA8-4BA9-ACB5-BE636B99ED37}" name="AFRp100k" dataDxfId="4">
      <calculatedColumnFormula>Table1[[#This Row],[Deaths_per_100000]]*Table1[[#This Row],[Alcohol-related Driving Fatalities (%)]]</calculatedColumnFormula>
    </tableColumn>
    <tableColumn id="16" xr3:uid="{BD4BF934-3DB5-4809-84AB-E9F0B8E41BE0}" name="Vehicles_per_person" dataDxfId="3" totalsRowDxfId="2"/>
    <tableColumn id="17" xr3:uid="{4A0D80EF-0661-429B-A309-44562F369527}" name="Excise_Tax_per_Gallon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ihs.org/research-areas/fatality-statistics/detail/state-by-state" TargetMode="External"/><Relationship Id="rId2" Type="http://schemas.openxmlformats.org/officeDocument/2006/relationships/hyperlink" Target="https://worldpopulationreview.com/state-rankings/alcohol-consumption-by-state" TargetMode="External"/><Relationship Id="rId1" Type="http://schemas.openxmlformats.org/officeDocument/2006/relationships/hyperlink" Target="https://taxfoundation.org/data/all/state/state-distilled-spirits-taxes-2024/" TargetMode="External"/><Relationship Id="rId6" Type="http://schemas.openxmlformats.org/officeDocument/2006/relationships/hyperlink" Target="https://worldpopulationreview.com/state-rankings/native-american-population" TargetMode="External"/><Relationship Id="rId5" Type="http://schemas.openxmlformats.org/officeDocument/2006/relationships/hyperlink" Target="https://www.cdc.gov/nchs/state-stats/deaths/liver-disease.html" TargetMode="External"/><Relationship Id="rId4" Type="http://schemas.openxmlformats.org/officeDocument/2006/relationships/hyperlink" Target="https://www.census.gov/data/datasets/time-series/demo/popest/2020s-national-total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22AF3-E7CF-45F4-9313-DFE3D894D7FB}">
  <dimension ref="A1:Y5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RowHeight="14.25"/>
  <cols>
    <col min="1" max="1" width="16" customWidth="1"/>
    <col min="2" max="2" width="27" customWidth="1"/>
    <col min="3" max="3" width="35.25" customWidth="1"/>
    <col min="5" max="5" width="24.25" customWidth="1"/>
    <col min="6" max="6" width="28.375" customWidth="1"/>
    <col min="7" max="7" width="28.125" customWidth="1"/>
    <col min="8" max="8" width="23.875" customWidth="1"/>
    <col min="9" max="9" width="13.625" customWidth="1"/>
    <col min="10" max="10" width="11.75" customWidth="1"/>
    <col min="11" max="12" width="16.875" customWidth="1"/>
    <col min="13" max="13" width="20.75" customWidth="1"/>
    <col min="14" max="14" width="22.25" customWidth="1"/>
    <col min="15" max="15" width="22.875" customWidth="1"/>
    <col min="16" max="16" width="9.875" customWidth="1"/>
    <col min="17" max="17" width="15.375" customWidth="1"/>
    <col min="18" max="18" width="22.75" customWidth="1"/>
    <col min="19" max="19" width="24.375" customWidth="1"/>
    <col min="20" max="21" width="18.75" customWidth="1"/>
    <col min="22" max="22" width="24.375" customWidth="1"/>
    <col min="23" max="23" width="14.125" customWidth="1"/>
    <col min="24" max="24" width="21.875" customWidth="1"/>
    <col min="25" max="25" width="23.375" customWidth="1"/>
  </cols>
  <sheetData>
    <row r="1" spans="1:25" ht="15" thickBot="1">
      <c r="A1" t="s">
        <v>0</v>
      </c>
      <c r="B1" t="s">
        <v>1</v>
      </c>
      <c r="C1" t="s">
        <v>2</v>
      </c>
      <c r="D1" t="s">
        <v>3</v>
      </c>
      <c r="E1" t="s">
        <v>69</v>
      </c>
      <c r="F1" t="s">
        <v>83</v>
      </c>
      <c r="G1" t="s">
        <v>67</v>
      </c>
      <c r="H1" t="s">
        <v>68</v>
      </c>
      <c r="I1" t="s">
        <v>4</v>
      </c>
      <c r="J1" t="s">
        <v>5</v>
      </c>
      <c r="K1" t="s">
        <v>82</v>
      </c>
      <c r="L1" t="s">
        <v>6</v>
      </c>
      <c r="M1" t="s">
        <v>78</v>
      </c>
      <c r="N1" t="s">
        <v>79</v>
      </c>
      <c r="O1" t="s">
        <v>7</v>
      </c>
      <c r="P1" t="s">
        <v>8</v>
      </c>
      <c r="Q1" t="s">
        <v>86</v>
      </c>
      <c r="R1" t="s">
        <v>85</v>
      </c>
      <c r="S1" t="s">
        <v>87</v>
      </c>
      <c r="T1" t="s">
        <v>84</v>
      </c>
      <c r="U1" t="s">
        <v>9</v>
      </c>
      <c r="V1" t="s">
        <v>10</v>
      </c>
      <c r="W1" t="s">
        <v>61</v>
      </c>
      <c r="X1" t="s">
        <v>62</v>
      </c>
      <c r="Y1" t="s">
        <v>65</v>
      </c>
    </row>
    <row r="2" spans="1:25" ht="19.5" thickBot="1">
      <c r="A2" t="s">
        <v>18</v>
      </c>
      <c r="B2">
        <v>3.52</v>
      </c>
      <c r="C2">
        <v>0.379</v>
      </c>
      <c r="D2">
        <v>1.2800000000000001E-2</v>
      </c>
      <c r="E2">
        <v>12.3</v>
      </c>
      <c r="F2">
        <v>170</v>
      </c>
      <c r="G2">
        <v>159</v>
      </c>
      <c r="H2">
        <v>11.8</v>
      </c>
      <c r="I2">
        <v>65</v>
      </c>
      <c r="J2">
        <v>0</v>
      </c>
      <c r="K2" s="1">
        <v>1031890</v>
      </c>
      <c r="L2" s="9">
        <v>1036423</v>
      </c>
      <c r="M2">
        <v>1036423</v>
      </c>
      <c r="N2" s="6">
        <f>+Table1[[#This Row],[Census Population]]/Table1[[#This Row],[Population]]</f>
        <v>1</v>
      </c>
      <c r="O2" s="1">
        <v>9718</v>
      </c>
      <c r="P2">
        <v>135</v>
      </c>
      <c r="Q2" s="11">
        <v>66</v>
      </c>
      <c r="R2">
        <v>22</v>
      </c>
      <c r="S2">
        <f>Table1[[#This Row],[Total_drunk_drivers_killed]]/Table1[[#This Row],[Total_ drivers_killed]]</f>
        <v>0.33333333333333331</v>
      </c>
      <c r="T2">
        <f>ROUND(Table1[[#This Row],[Drivers Killed Drunk Prop]]*Table1[[#This Row],[Deaths]],0)</f>
        <v>45</v>
      </c>
      <c r="U2">
        <v>13.1</v>
      </c>
      <c r="V2">
        <v>1.39</v>
      </c>
      <c r="W2">
        <f>Table1[[#This Row],[Deaths_per_100000]]*Table1[[#This Row],[Alcohol-related Driving Fatalities (%)]]</f>
        <v>4.9649000000000001</v>
      </c>
      <c r="X2" s="2">
        <v>0.47</v>
      </c>
      <c r="Y2" s="5">
        <v>4.5</v>
      </c>
    </row>
    <row r="3" spans="1:25" ht="19.5" thickBot="1">
      <c r="A3" t="s">
        <v>42</v>
      </c>
      <c r="B3">
        <v>2.21</v>
      </c>
      <c r="C3">
        <v>0.23</v>
      </c>
      <c r="D3">
        <v>1.4E-2</v>
      </c>
      <c r="E3">
        <v>8.1</v>
      </c>
      <c r="F3" s="1">
        <v>1953</v>
      </c>
      <c r="G3" s="1">
        <v>1837</v>
      </c>
      <c r="H3">
        <v>7.6</v>
      </c>
      <c r="I3">
        <v>65</v>
      </c>
      <c r="J3">
        <v>4</v>
      </c>
      <c r="K3" s="1">
        <v>19571216</v>
      </c>
      <c r="L3" s="9">
        <v>19737367</v>
      </c>
      <c r="M3" s="1">
        <v>19737367</v>
      </c>
      <c r="N3" s="6">
        <f>+Table1[[#This Row],[Census Population]]/Table1[[#This Row],[Population]]</f>
        <v>1</v>
      </c>
      <c r="O3" s="1">
        <v>120067</v>
      </c>
      <c r="P3" s="1">
        <v>1114</v>
      </c>
      <c r="Q3" s="10">
        <v>384</v>
      </c>
      <c r="R3">
        <v>119</v>
      </c>
      <c r="S3">
        <f>Table1[[#This Row],[Total_drunk_drivers_killed]]/Table1[[#This Row],[Total_ drivers_killed]]</f>
        <v>0.30989583333333331</v>
      </c>
      <c r="T3">
        <f>ROUND(Table1[[#This Row],[Drivers Killed Drunk Prop]]*Table1[[#This Row],[Deaths]],0)</f>
        <v>345</v>
      </c>
      <c r="U3">
        <v>5.7</v>
      </c>
      <c r="V3">
        <v>0.93</v>
      </c>
      <c r="W3">
        <f>Table1[[#This Row],[Deaths_per_100000]]*Table1[[#This Row],[Alcohol-related Driving Fatalities (%)]]</f>
        <v>1.3110000000000002</v>
      </c>
      <c r="X3" s="3">
        <v>0.47399999999999998</v>
      </c>
      <c r="Y3" s="4">
        <v>6.44</v>
      </c>
    </row>
    <row r="4" spans="1:25" ht="19.5" thickBot="1">
      <c r="A4" t="s">
        <v>40</v>
      </c>
      <c r="B4">
        <v>2.36</v>
      </c>
      <c r="C4">
        <v>0.24299999999999999</v>
      </c>
      <c r="D4">
        <v>1.1599999999999999E-2</v>
      </c>
      <c r="E4">
        <v>8.6</v>
      </c>
      <c r="F4">
        <v>989</v>
      </c>
      <c r="G4">
        <v>903</v>
      </c>
      <c r="H4">
        <v>8</v>
      </c>
      <c r="I4">
        <v>65</v>
      </c>
      <c r="J4">
        <v>7</v>
      </c>
      <c r="K4" s="1">
        <v>9290841</v>
      </c>
      <c r="L4" s="9">
        <v>9379642</v>
      </c>
      <c r="M4" s="1">
        <v>9379642</v>
      </c>
      <c r="N4" s="6">
        <f>+Table1[[#This Row],[Census Population]]/Table1[[#This Row],[Population]]</f>
        <v>1</v>
      </c>
      <c r="O4" s="1">
        <v>78007</v>
      </c>
      <c r="P4">
        <v>606</v>
      </c>
      <c r="Q4" s="10">
        <v>222</v>
      </c>
      <c r="R4">
        <v>58</v>
      </c>
      <c r="S4">
        <f>Table1[[#This Row],[Total_drunk_drivers_killed]]/Table1[[#This Row],[Total_ drivers_killed]]</f>
        <v>0.26126126126126126</v>
      </c>
      <c r="T4">
        <f>ROUND(Table1[[#This Row],[Drivers Killed Drunk Prop]]*Table1[[#This Row],[Deaths]],0)</f>
        <v>158</v>
      </c>
      <c r="U4">
        <v>6.5</v>
      </c>
      <c r="V4">
        <v>0.78</v>
      </c>
      <c r="W4">
        <f>Table1[[#This Row],[Deaths_per_100000]]*Table1[[#This Row],[Alcohol-related Driving Fatalities (%)]]</f>
        <v>1.5794999999999999</v>
      </c>
      <c r="X4" s="3">
        <v>0.67400000000000004</v>
      </c>
      <c r="Y4" s="4">
        <v>5.5</v>
      </c>
    </row>
    <row r="5" spans="1:25" ht="19.5" thickBot="1">
      <c r="A5" t="s">
        <v>58</v>
      </c>
      <c r="B5">
        <v>1.74</v>
      </c>
      <c r="C5">
        <v>0.32</v>
      </c>
      <c r="D5">
        <v>1.0699999999999999E-2</v>
      </c>
      <c r="E5">
        <v>18.600000000000001</v>
      </c>
      <c r="F5">
        <v>451</v>
      </c>
      <c r="G5">
        <v>408</v>
      </c>
      <c r="H5">
        <v>17.100000000000001</v>
      </c>
      <c r="I5">
        <v>70</v>
      </c>
      <c r="J5">
        <v>6</v>
      </c>
      <c r="K5" s="1">
        <v>1770071</v>
      </c>
      <c r="L5" s="9">
        <v>1770495</v>
      </c>
      <c r="M5" s="1">
        <v>1770495</v>
      </c>
      <c r="N5" s="6">
        <f>+Table1[[#This Row],[Census Population]]/Table1[[#This Row],[Population]]</f>
        <v>1</v>
      </c>
      <c r="O5" s="1">
        <v>15962</v>
      </c>
      <c r="P5">
        <v>260</v>
      </c>
      <c r="Q5" s="10">
        <v>134</v>
      </c>
      <c r="R5">
        <v>22</v>
      </c>
      <c r="S5">
        <f>Table1[[#This Row],[Total_drunk_drivers_killed]]/Table1[[#This Row],[Total_ drivers_killed]]</f>
        <v>0.16417910447761194</v>
      </c>
      <c r="T5">
        <f>ROUND(Table1[[#This Row],[Drivers Killed Drunk Prop]]*Table1[[#This Row],[Deaths]],0)</f>
        <v>43</v>
      </c>
      <c r="U5">
        <v>14.7</v>
      </c>
      <c r="V5">
        <v>1.63</v>
      </c>
      <c r="W5">
        <f>Table1[[#This Row],[Deaths_per_100000]]*Table1[[#This Row],[Alcohol-related Driving Fatalities (%)]]</f>
        <v>4.7039999999999997</v>
      </c>
      <c r="X5" s="3">
        <v>0.68300000000000005</v>
      </c>
      <c r="Y5" s="4">
        <v>8.32</v>
      </c>
    </row>
    <row r="6" spans="1:25" ht="19.5" thickBot="1">
      <c r="A6" t="s">
        <v>49</v>
      </c>
      <c r="B6">
        <v>2.63</v>
      </c>
      <c r="C6">
        <v>0.40400000000000003</v>
      </c>
      <c r="D6">
        <v>1.6500000000000001E-2</v>
      </c>
      <c r="E6">
        <v>14.9</v>
      </c>
      <c r="F6">
        <v>205</v>
      </c>
      <c r="G6">
        <v>201</v>
      </c>
      <c r="H6">
        <v>15.1</v>
      </c>
      <c r="I6">
        <v>65</v>
      </c>
      <c r="J6">
        <v>7</v>
      </c>
      <c r="K6" s="1">
        <v>1095962</v>
      </c>
      <c r="L6" s="9">
        <v>1103429</v>
      </c>
      <c r="M6" s="1">
        <v>1103429</v>
      </c>
      <c r="N6" s="6">
        <f>+Table1[[#This Row],[Census Population]]/Table1[[#This Row],[Population]]</f>
        <v>1</v>
      </c>
      <c r="O6" s="1">
        <v>7564</v>
      </c>
      <c r="P6">
        <v>71</v>
      </c>
      <c r="Q6" s="11">
        <v>34</v>
      </c>
      <c r="R6">
        <v>10</v>
      </c>
      <c r="S6">
        <f>Table1[[#This Row],[Total_drunk_drivers_killed]]/Table1[[#This Row],[Total_ drivers_killed]]</f>
        <v>0.29411764705882354</v>
      </c>
      <c r="T6">
        <f>ROUND(Table1[[#This Row],[Drivers Killed Drunk Prop]]*Table1[[#This Row],[Deaths]],0)</f>
        <v>21</v>
      </c>
      <c r="U6">
        <v>6.5</v>
      </c>
      <c r="V6">
        <v>0.94</v>
      </c>
      <c r="W6">
        <f>Table1[[#This Row],[Deaths_per_100000]]*Table1[[#This Row],[Alcohol-related Driving Fatalities (%)]]</f>
        <v>2.6260000000000003</v>
      </c>
      <c r="X6" s="3">
        <v>0.73099999999999998</v>
      </c>
      <c r="Y6" s="5">
        <v>5.4</v>
      </c>
    </row>
    <row r="7" spans="1:25" ht="19.5" thickBot="1">
      <c r="A7" t="s">
        <v>31</v>
      </c>
      <c r="B7">
        <v>2.5499999999999998</v>
      </c>
      <c r="C7">
        <v>0.27800000000000002</v>
      </c>
      <c r="D7">
        <v>9.5999999999999992E-3</v>
      </c>
      <c r="E7">
        <v>10.9</v>
      </c>
      <c r="F7">
        <v>949</v>
      </c>
      <c r="G7">
        <v>911</v>
      </c>
      <c r="H7">
        <v>10.4</v>
      </c>
      <c r="I7">
        <v>65</v>
      </c>
      <c r="J7">
        <v>6.25</v>
      </c>
      <c r="K7" s="1">
        <v>7001399</v>
      </c>
      <c r="L7" s="9">
        <v>7066568</v>
      </c>
      <c r="M7" s="1">
        <v>7066568</v>
      </c>
      <c r="N7" s="6">
        <f>+Table1[[#This Row],[Census Population]]/Table1[[#This Row],[Population]]</f>
        <v>1</v>
      </c>
      <c r="O7" s="1">
        <v>60748</v>
      </c>
      <c r="P7">
        <v>343</v>
      </c>
      <c r="Q7" s="11">
        <v>165</v>
      </c>
      <c r="R7">
        <v>54</v>
      </c>
      <c r="S7">
        <f>Table1[[#This Row],[Total_drunk_drivers_killed]]/Table1[[#This Row],[Total_ drivers_killed]]</f>
        <v>0.32727272727272727</v>
      </c>
      <c r="T7">
        <f>ROUND(Table1[[#This Row],[Drivers Killed Drunk Prop]]*Table1[[#This Row],[Deaths]],0)</f>
        <v>112</v>
      </c>
      <c r="U7">
        <v>4.9000000000000004</v>
      </c>
      <c r="V7">
        <v>0.56000000000000005</v>
      </c>
      <c r="W7">
        <f>Table1[[#This Row],[Deaths_per_100000]]*Table1[[#This Row],[Alcohol-related Driving Fatalities (%)]]</f>
        <v>1.3622000000000003</v>
      </c>
      <c r="X7" s="3">
        <v>0.745</v>
      </c>
      <c r="Y7" s="5">
        <v>4.05</v>
      </c>
    </row>
    <row r="8" spans="1:25" ht="19.5" thickBot="1">
      <c r="A8" t="s">
        <v>17</v>
      </c>
      <c r="B8">
        <v>2.4</v>
      </c>
      <c r="C8">
        <v>0.33400000000000002</v>
      </c>
      <c r="D8">
        <v>1.1900000000000001E-2</v>
      </c>
      <c r="E8">
        <v>12</v>
      </c>
      <c r="F8">
        <v>535</v>
      </c>
      <c r="G8">
        <v>531</v>
      </c>
      <c r="H8">
        <v>11.6</v>
      </c>
      <c r="I8">
        <v>65</v>
      </c>
      <c r="J8">
        <v>6.35</v>
      </c>
      <c r="K8" s="1">
        <v>3617176</v>
      </c>
      <c r="L8" s="9">
        <v>3643023</v>
      </c>
      <c r="M8">
        <v>3643023</v>
      </c>
      <c r="N8" s="6">
        <f>+Table1[[#This Row],[Census Population]]/Table1[[#This Row],[Population]]</f>
        <v>1</v>
      </c>
      <c r="O8" s="1">
        <v>30503</v>
      </c>
      <c r="P8">
        <v>308</v>
      </c>
      <c r="Q8" s="10">
        <v>144</v>
      </c>
      <c r="R8">
        <v>54</v>
      </c>
      <c r="S8">
        <f>Table1[[#This Row],[Total_drunk_drivers_killed]]/Table1[[#This Row],[Total_ drivers_killed]]</f>
        <v>0.375</v>
      </c>
      <c r="T8">
        <f>ROUND(Table1[[#This Row],[Drivers Killed Drunk Prop]]*Table1[[#This Row],[Deaths]],0)</f>
        <v>116</v>
      </c>
      <c r="U8">
        <v>8.5</v>
      </c>
      <c r="V8">
        <v>1.01</v>
      </c>
      <c r="W8">
        <f>Table1[[#This Row],[Deaths_per_100000]]*Table1[[#This Row],[Alcohol-related Driving Fatalities (%)]]</f>
        <v>2.839</v>
      </c>
      <c r="X8" s="3">
        <v>0.76500000000000001</v>
      </c>
      <c r="Y8" s="4">
        <v>5.94</v>
      </c>
    </row>
    <row r="9" spans="1:25" ht="19.5" thickBot="1">
      <c r="A9" t="s">
        <v>53</v>
      </c>
      <c r="B9">
        <v>2.2599999999999998</v>
      </c>
      <c r="C9">
        <v>0.29899999999999999</v>
      </c>
      <c r="D9">
        <v>1.84E-2</v>
      </c>
      <c r="E9">
        <v>15.9</v>
      </c>
      <c r="F9" s="1">
        <v>5079</v>
      </c>
      <c r="G9" s="1">
        <v>5168</v>
      </c>
      <c r="H9">
        <v>15.9</v>
      </c>
      <c r="I9">
        <v>70</v>
      </c>
      <c r="J9">
        <v>6.25</v>
      </c>
      <c r="K9" s="1">
        <v>30503301</v>
      </c>
      <c r="L9" s="9">
        <v>30727890</v>
      </c>
      <c r="M9" s="1">
        <v>30727890</v>
      </c>
      <c r="N9" s="6">
        <f>+Table1[[#This Row],[Census Population]]/Table1[[#This Row],[Population]]</f>
        <v>1</v>
      </c>
      <c r="O9" s="1">
        <v>300338</v>
      </c>
      <c r="P9" s="1">
        <v>4291</v>
      </c>
      <c r="Q9" s="13">
        <v>1932</v>
      </c>
      <c r="R9">
        <v>716</v>
      </c>
      <c r="S9">
        <f>Table1[[#This Row],[Total_drunk_drivers_killed]]/Table1[[#This Row],[Total_ drivers_killed]]</f>
        <v>0.37060041407867494</v>
      </c>
      <c r="T9">
        <f>ROUND(Table1[[#This Row],[Drivers Killed Drunk Prop]]*Table1[[#This Row],[Deaths]],0)</f>
        <v>1590</v>
      </c>
      <c r="U9">
        <v>14.1</v>
      </c>
      <c r="V9">
        <v>1.43</v>
      </c>
      <c r="W9">
        <f>Table1[[#This Row],[Deaths_per_100000]]*Table1[[#This Row],[Alcohol-related Driving Fatalities (%)]]</f>
        <v>4.2158999999999995</v>
      </c>
      <c r="X9" s="3">
        <v>0.77800000000000002</v>
      </c>
      <c r="Y9" s="5">
        <v>2.4</v>
      </c>
    </row>
    <row r="10" spans="1:25" ht="19.5" thickBot="1">
      <c r="A10" t="s">
        <v>30</v>
      </c>
      <c r="B10">
        <v>2.08</v>
      </c>
      <c r="C10">
        <v>0.32800000000000001</v>
      </c>
      <c r="D10">
        <v>1.4500000000000001E-2</v>
      </c>
      <c r="E10">
        <v>9</v>
      </c>
      <c r="F10">
        <v>665</v>
      </c>
      <c r="G10">
        <v>655</v>
      </c>
      <c r="H10">
        <v>8.9</v>
      </c>
      <c r="I10">
        <v>70</v>
      </c>
      <c r="J10">
        <v>6</v>
      </c>
      <c r="K10" s="1">
        <v>6180253</v>
      </c>
      <c r="L10" s="9">
        <v>6217062</v>
      </c>
      <c r="M10" s="1">
        <v>6217062</v>
      </c>
      <c r="N10" s="6">
        <f>+Table1[[#This Row],[Census Population]]/Table1[[#This Row],[Population]]</f>
        <v>1</v>
      </c>
      <c r="O10" s="1">
        <v>57356</v>
      </c>
      <c r="P10">
        <v>621</v>
      </c>
      <c r="Q10" s="10">
        <v>253</v>
      </c>
      <c r="R10">
        <v>73</v>
      </c>
      <c r="S10">
        <f>Table1[[#This Row],[Total_drunk_drivers_killed]]/Table1[[#This Row],[Total_ drivers_killed]]</f>
        <v>0.28853754940711462</v>
      </c>
      <c r="T10">
        <f>ROUND(Table1[[#This Row],[Drivers Killed Drunk Prop]]*Table1[[#This Row],[Deaths]],0)</f>
        <v>179</v>
      </c>
      <c r="U10">
        <v>10</v>
      </c>
      <c r="V10">
        <v>1.08</v>
      </c>
      <c r="W10">
        <f>Table1[[#This Row],[Deaths_per_100000]]*Table1[[#This Row],[Alcohol-related Driving Fatalities (%)]]</f>
        <v>3.2800000000000002</v>
      </c>
      <c r="X10" s="3">
        <v>0.79500000000000004</v>
      </c>
      <c r="Y10" s="4">
        <v>5.46</v>
      </c>
    </row>
    <row r="11" spans="1:25" ht="19.5" thickBot="1">
      <c r="A11" t="s">
        <v>15</v>
      </c>
      <c r="B11">
        <v>2.4900000000000002</v>
      </c>
      <c r="C11">
        <v>0.28999999999999998</v>
      </c>
      <c r="D11">
        <v>2.8000000000000001E-2</v>
      </c>
      <c r="E11">
        <v>14.9</v>
      </c>
      <c r="F11" s="1">
        <v>6630</v>
      </c>
      <c r="G11" s="1">
        <v>6474</v>
      </c>
      <c r="H11">
        <v>14.3</v>
      </c>
      <c r="I11">
        <v>70</v>
      </c>
      <c r="J11">
        <v>7.5</v>
      </c>
      <c r="K11" s="1">
        <v>38965193</v>
      </c>
      <c r="L11" s="9">
        <v>39198693</v>
      </c>
      <c r="M11">
        <v>39198693</v>
      </c>
      <c r="N11" s="6">
        <f>+Table1[[#This Row],[Census Population]]/Table1[[#This Row],[Population]]</f>
        <v>1</v>
      </c>
      <c r="O11" s="1">
        <v>316612</v>
      </c>
      <c r="P11" s="1">
        <v>4061</v>
      </c>
      <c r="Q11" s="12">
        <v>1534</v>
      </c>
      <c r="R11">
        <v>589</v>
      </c>
      <c r="S11">
        <f>Table1[[#This Row],[Total_drunk_drivers_killed]]/Table1[[#This Row],[Total_ drivers_killed]]</f>
        <v>0.38396349413298564</v>
      </c>
      <c r="T11">
        <f>ROUND(Table1[[#This Row],[Drivers Killed Drunk Prop]]*Table1[[#This Row],[Deaths]],0)</f>
        <v>1559</v>
      </c>
      <c r="U11">
        <v>10.4</v>
      </c>
      <c r="V11">
        <v>1.28</v>
      </c>
      <c r="W11">
        <f>Table1[[#This Row],[Deaths_per_100000]]*Table1[[#This Row],[Alcohol-related Driving Fatalities (%)]]</f>
        <v>3.016</v>
      </c>
      <c r="X11" s="3">
        <v>0.80100000000000005</v>
      </c>
      <c r="Y11" s="4">
        <v>3.3</v>
      </c>
    </row>
    <row r="12" spans="1:25" ht="19.5" thickBot="1">
      <c r="A12" t="s">
        <v>34</v>
      </c>
      <c r="B12">
        <v>2.17</v>
      </c>
      <c r="C12">
        <v>0.23300000000000001</v>
      </c>
      <c r="D12">
        <v>1.23E-2</v>
      </c>
      <c r="E12">
        <v>17</v>
      </c>
      <c r="F12">
        <v>589</v>
      </c>
      <c r="G12">
        <v>510</v>
      </c>
      <c r="H12">
        <v>14.4</v>
      </c>
      <c r="I12">
        <v>70</v>
      </c>
      <c r="J12">
        <v>7</v>
      </c>
      <c r="K12" s="1">
        <v>2939690</v>
      </c>
      <c r="L12" s="9">
        <v>2943172</v>
      </c>
      <c r="M12" s="1">
        <v>2943172</v>
      </c>
      <c r="N12" s="6">
        <f>+Table1[[#This Row],[Census Population]]/Table1[[#This Row],[Population]]</f>
        <v>1</v>
      </c>
      <c r="O12" s="1">
        <v>40944</v>
      </c>
      <c r="P12">
        <v>732</v>
      </c>
      <c r="Q12" s="10">
        <v>408</v>
      </c>
      <c r="R12">
        <v>74</v>
      </c>
      <c r="S12">
        <f>Table1[[#This Row],[Total_drunk_drivers_killed]]/Table1[[#This Row],[Total_ drivers_killed]]</f>
        <v>0.18137254901960784</v>
      </c>
      <c r="T12">
        <f>ROUND(Table1[[#This Row],[Drivers Killed Drunk Prop]]*Table1[[#This Row],[Deaths]],0)</f>
        <v>133</v>
      </c>
      <c r="U12">
        <v>24.9</v>
      </c>
      <c r="V12">
        <v>1.79</v>
      </c>
      <c r="W12">
        <f>Table1[[#This Row],[Deaths_per_100000]]*Table1[[#This Row],[Alcohol-related Driving Fatalities (%)]]</f>
        <v>5.8017000000000003</v>
      </c>
      <c r="X12" s="3">
        <v>0.80900000000000005</v>
      </c>
      <c r="Y12" s="4">
        <v>8.51</v>
      </c>
    </row>
    <row r="13" spans="1:25" ht="19.5" thickBot="1">
      <c r="A13" t="s">
        <v>43</v>
      </c>
      <c r="B13">
        <v>2.17</v>
      </c>
      <c r="C13">
        <v>0.32300000000000001</v>
      </c>
      <c r="D13">
        <v>2.1600000000000001E-2</v>
      </c>
      <c r="E13">
        <v>13.8</v>
      </c>
      <c r="F13" s="1">
        <v>1801</v>
      </c>
      <c r="G13" s="1">
        <v>1712</v>
      </c>
      <c r="H13">
        <v>13</v>
      </c>
      <c r="I13">
        <v>70</v>
      </c>
      <c r="J13">
        <v>4.75</v>
      </c>
      <c r="K13" s="1">
        <v>10835491</v>
      </c>
      <c r="L13" s="9">
        <v>10881189</v>
      </c>
      <c r="M13" s="1">
        <v>10881189</v>
      </c>
      <c r="N13" s="6">
        <f>+Table1[[#This Row],[Census Population]]/Table1[[#This Row],[Population]]</f>
        <v>1</v>
      </c>
      <c r="O13" s="1">
        <v>122258</v>
      </c>
      <c r="P13" s="1">
        <v>1561</v>
      </c>
      <c r="Q13" s="11">
        <v>804</v>
      </c>
      <c r="R13">
        <v>215</v>
      </c>
      <c r="S13">
        <f>Table1[[#This Row],[Total_drunk_drivers_killed]]/Table1[[#This Row],[Total_ drivers_killed]]</f>
        <v>0.26741293532338306</v>
      </c>
      <c r="T13">
        <f>ROUND(Table1[[#This Row],[Drivers Killed Drunk Prop]]*Table1[[#This Row],[Deaths]],0)</f>
        <v>417</v>
      </c>
      <c r="U13">
        <v>14.4</v>
      </c>
      <c r="V13">
        <v>1.28</v>
      </c>
      <c r="W13">
        <f>Table1[[#This Row],[Deaths_per_100000]]*Table1[[#This Row],[Alcohol-related Driving Fatalities (%)]]</f>
        <v>4.6512000000000002</v>
      </c>
      <c r="X13" s="3">
        <v>0.82399999999999995</v>
      </c>
      <c r="Y13" s="5">
        <v>16.399999999999999</v>
      </c>
    </row>
    <row r="14" spans="1:25" ht="19.5" thickBot="1">
      <c r="A14" t="s">
        <v>13</v>
      </c>
      <c r="B14">
        <v>2.25</v>
      </c>
      <c r="C14">
        <v>0.27600000000000002</v>
      </c>
      <c r="D14">
        <v>5.6500000000000002E-2</v>
      </c>
      <c r="E14">
        <v>17.5</v>
      </c>
      <c r="F14" s="1">
        <v>1492</v>
      </c>
      <c r="G14" s="1">
        <v>1438</v>
      </c>
      <c r="H14">
        <v>16.5</v>
      </c>
      <c r="I14">
        <v>75</v>
      </c>
      <c r="J14">
        <v>5.6</v>
      </c>
      <c r="K14" s="1">
        <v>7431344</v>
      </c>
      <c r="L14" s="9">
        <v>7473027</v>
      </c>
      <c r="M14">
        <v>7473027</v>
      </c>
      <c r="N14" s="6">
        <f>+Table1[[#This Row],[Census Population]]/Table1[[#This Row],[Population]]</f>
        <v>1</v>
      </c>
      <c r="O14" s="1">
        <v>75297</v>
      </c>
      <c r="P14" s="1">
        <v>1304</v>
      </c>
      <c r="Q14" s="10">
        <v>415</v>
      </c>
      <c r="R14">
        <v>132</v>
      </c>
      <c r="S14">
        <f>Table1[[#This Row],[Total_drunk_drivers_killed]]/Table1[[#This Row],[Total_ drivers_killed]]</f>
        <v>0.3180722891566265</v>
      </c>
      <c r="T14">
        <f>ROUND(Table1[[#This Row],[Drivers Killed Drunk Prop]]*Table1[[#This Row],[Deaths]],0)</f>
        <v>415</v>
      </c>
      <c r="U14">
        <v>17.5</v>
      </c>
      <c r="V14">
        <v>1.73</v>
      </c>
      <c r="W14">
        <f>Table1[[#This Row],[Deaths_per_100000]]*Table1[[#This Row],[Alcohol-related Driving Fatalities (%)]]</f>
        <v>4.83</v>
      </c>
      <c r="X14" s="3">
        <v>0.83399999999999996</v>
      </c>
      <c r="Y14" s="4">
        <v>3</v>
      </c>
    </row>
    <row r="15" spans="1:25" ht="19.5" thickBot="1">
      <c r="A15" t="s">
        <v>28</v>
      </c>
      <c r="B15">
        <v>2.5499999999999998</v>
      </c>
      <c r="C15">
        <v>0.32600000000000001</v>
      </c>
      <c r="D15">
        <v>1.84E-2</v>
      </c>
      <c r="E15">
        <v>11.8</v>
      </c>
      <c r="F15">
        <v>649</v>
      </c>
      <c r="G15">
        <v>604</v>
      </c>
      <c r="H15">
        <v>10.9</v>
      </c>
      <c r="I15">
        <v>75</v>
      </c>
      <c r="J15">
        <v>4</v>
      </c>
      <c r="K15" s="1">
        <v>4573749</v>
      </c>
      <c r="L15" s="9">
        <v>4588071</v>
      </c>
      <c r="M15" s="1">
        <v>4588071</v>
      </c>
      <c r="N15" s="6">
        <f>+Table1[[#This Row],[Census Population]]/Table1[[#This Row],[Population]]</f>
        <v>1</v>
      </c>
      <c r="O15" s="1">
        <v>55560</v>
      </c>
      <c r="P15">
        <v>811</v>
      </c>
      <c r="Q15" s="10">
        <v>383</v>
      </c>
      <c r="R15">
        <v>128</v>
      </c>
      <c r="S15">
        <f>Table1[[#This Row],[Total_drunk_drivers_killed]]/Table1[[#This Row],[Total_ drivers_killed]]</f>
        <v>0.33420365535248042</v>
      </c>
      <c r="T15">
        <f>ROUND(Table1[[#This Row],[Drivers Killed Drunk Prop]]*Table1[[#This Row],[Deaths]],0)</f>
        <v>271</v>
      </c>
      <c r="U15">
        <v>17.7</v>
      </c>
      <c r="V15">
        <v>1.46</v>
      </c>
      <c r="W15">
        <f>Table1[[#This Row],[Deaths_per_100000]]*Table1[[#This Row],[Alcohol-related Driving Fatalities (%)]]</f>
        <v>5.7702</v>
      </c>
      <c r="X15" s="3">
        <v>0.83499999999999996</v>
      </c>
      <c r="Y15" s="4">
        <v>3.03</v>
      </c>
    </row>
    <row r="16" spans="1:25" ht="19.5" thickBot="1">
      <c r="A16" t="s">
        <v>46</v>
      </c>
      <c r="B16">
        <v>1.85</v>
      </c>
      <c r="C16">
        <v>0.29899999999999999</v>
      </c>
      <c r="D16">
        <v>0.1346</v>
      </c>
      <c r="E16">
        <v>20</v>
      </c>
      <c r="F16">
        <v>900</v>
      </c>
      <c r="G16">
        <v>859</v>
      </c>
      <c r="H16">
        <v>18.8</v>
      </c>
      <c r="I16">
        <v>80</v>
      </c>
      <c r="J16">
        <v>4.5</v>
      </c>
      <c r="K16" s="1">
        <v>4053824</v>
      </c>
      <c r="L16" s="9">
        <v>4063882</v>
      </c>
      <c r="M16" s="1">
        <v>4063882</v>
      </c>
      <c r="N16" s="6">
        <f>+Table1[[#This Row],[Census Population]]/Table1[[#This Row],[Population]]</f>
        <v>1</v>
      </c>
      <c r="O16" s="1">
        <v>45760</v>
      </c>
      <c r="P16">
        <v>718</v>
      </c>
      <c r="Q16" s="10">
        <v>359</v>
      </c>
      <c r="R16">
        <v>87</v>
      </c>
      <c r="S16">
        <f>Table1[[#This Row],[Total_drunk_drivers_killed]]/Table1[[#This Row],[Total_ drivers_killed]]</f>
        <v>0.24233983286908078</v>
      </c>
      <c r="T16">
        <f>ROUND(Table1[[#This Row],[Drivers Killed Drunk Prop]]*Table1[[#This Row],[Deaths]],0)</f>
        <v>174</v>
      </c>
      <c r="U16">
        <v>17.7</v>
      </c>
      <c r="V16">
        <v>1.57</v>
      </c>
      <c r="W16">
        <f>Table1[[#This Row],[Deaths_per_100000]]*Table1[[#This Row],[Alcohol-related Driving Fatalities (%)]]</f>
        <v>5.2923</v>
      </c>
      <c r="X16" s="3">
        <v>0.84</v>
      </c>
      <c r="Y16" s="4">
        <v>5.56</v>
      </c>
    </row>
    <row r="17" spans="1:25" ht="19.5" thickBot="1">
      <c r="A17" t="s">
        <v>48</v>
      </c>
      <c r="B17">
        <v>2.34</v>
      </c>
      <c r="C17">
        <v>0.32</v>
      </c>
      <c r="D17">
        <v>9.1999999999999998E-3</v>
      </c>
      <c r="E17">
        <v>10.8</v>
      </c>
      <c r="F17" s="1">
        <v>1834</v>
      </c>
      <c r="G17" s="1">
        <v>1733</v>
      </c>
      <c r="H17">
        <v>10.199999999999999</v>
      </c>
      <c r="I17">
        <v>70</v>
      </c>
      <c r="J17">
        <v>6</v>
      </c>
      <c r="K17" s="1">
        <v>12961683</v>
      </c>
      <c r="L17" s="9">
        <v>13017721</v>
      </c>
      <c r="M17" s="1">
        <v>13017721</v>
      </c>
      <c r="N17" s="6">
        <f>+Table1[[#This Row],[Census Population]]/Table1[[#This Row],[Population]]</f>
        <v>1</v>
      </c>
      <c r="O17" s="1">
        <v>100126</v>
      </c>
      <c r="P17" s="1">
        <v>1211</v>
      </c>
      <c r="Q17" s="10">
        <v>550</v>
      </c>
      <c r="R17">
        <v>140</v>
      </c>
      <c r="S17">
        <f>Table1[[#This Row],[Total_drunk_drivers_killed]]/Table1[[#This Row],[Total_ drivers_killed]]</f>
        <v>0.25454545454545452</v>
      </c>
      <c r="T17">
        <f>ROUND(Table1[[#This Row],[Drivers Killed Drunk Prop]]*Table1[[#This Row],[Deaths]],0)</f>
        <v>308</v>
      </c>
      <c r="U17">
        <v>9.3000000000000007</v>
      </c>
      <c r="V17">
        <v>1.21</v>
      </c>
      <c r="W17">
        <f>Table1[[#This Row],[Deaths_per_100000]]*Table1[[#This Row],[Alcohol-related Driving Fatalities (%)]]</f>
        <v>2.9760000000000004</v>
      </c>
      <c r="X17" s="3">
        <v>0.84</v>
      </c>
      <c r="Y17" s="4">
        <v>7.41</v>
      </c>
    </row>
    <row r="18" spans="1:25" ht="19.5" thickBot="1">
      <c r="A18" t="s">
        <v>20</v>
      </c>
      <c r="B18">
        <v>1.9</v>
      </c>
      <c r="C18">
        <v>0.23400000000000001</v>
      </c>
      <c r="D18">
        <v>1.43E-2</v>
      </c>
      <c r="E18">
        <v>12.6</v>
      </c>
      <c r="F18" s="1">
        <v>1556</v>
      </c>
      <c r="G18" s="1">
        <v>1515</v>
      </c>
      <c r="H18">
        <v>12</v>
      </c>
      <c r="I18">
        <v>70</v>
      </c>
      <c r="J18">
        <v>4</v>
      </c>
      <c r="K18" s="1">
        <v>11029227</v>
      </c>
      <c r="L18" s="9">
        <v>11064432</v>
      </c>
      <c r="M18" s="1">
        <v>11064432</v>
      </c>
      <c r="N18" s="6">
        <f>+Table1[[#This Row],[Census Population]]/Table1[[#This Row],[Population]]</f>
        <v>1</v>
      </c>
      <c r="O18" s="1">
        <v>126339</v>
      </c>
      <c r="P18" s="1">
        <v>1615</v>
      </c>
      <c r="Q18" s="10">
        <v>781</v>
      </c>
      <c r="R18">
        <v>200</v>
      </c>
      <c r="S18">
        <f>Table1[[#This Row],[Total_drunk_drivers_killed]]/Table1[[#This Row],[Total_ drivers_killed]]</f>
        <v>0.25608194622279129</v>
      </c>
      <c r="T18">
        <f>ROUND(Table1[[#This Row],[Drivers Killed Drunk Prop]]*Table1[[#This Row],[Deaths]],0)</f>
        <v>414</v>
      </c>
      <c r="U18">
        <v>14.6</v>
      </c>
      <c r="V18">
        <v>1.28</v>
      </c>
      <c r="W18">
        <f>Table1[[#This Row],[Deaths_per_100000]]*Table1[[#This Row],[Alcohol-related Driving Fatalities (%)]]</f>
        <v>3.4164000000000003</v>
      </c>
      <c r="X18" s="3">
        <v>0.84699999999999998</v>
      </c>
      <c r="Y18" s="4">
        <v>3.79</v>
      </c>
    </row>
    <row r="19" spans="1:25" ht="19.5" thickBot="1">
      <c r="A19" t="s">
        <v>38</v>
      </c>
      <c r="B19">
        <v>3.42</v>
      </c>
      <c r="C19">
        <v>0.32800000000000001</v>
      </c>
      <c r="D19">
        <v>2.7699999999999999E-2</v>
      </c>
      <c r="E19">
        <v>17</v>
      </c>
      <c r="F19">
        <v>636</v>
      </c>
      <c r="G19">
        <v>605</v>
      </c>
      <c r="H19">
        <v>15.7</v>
      </c>
      <c r="I19">
        <v>80</v>
      </c>
      <c r="J19">
        <v>6.85</v>
      </c>
      <c r="K19" s="1">
        <v>3194176</v>
      </c>
      <c r="L19" s="9">
        <v>3214363</v>
      </c>
      <c r="M19" s="1">
        <v>3214363</v>
      </c>
      <c r="N19" s="6">
        <f>+Table1[[#This Row],[Census Population]]/Table1[[#This Row],[Population]]</f>
        <v>1</v>
      </c>
      <c r="O19" s="1">
        <v>27777</v>
      </c>
      <c r="P19">
        <v>389</v>
      </c>
      <c r="Q19" s="10">
        <v>141</v>
      </c>
      <c r="R19">
        <v>48</v>
      </c>
      <c r="S19">
        <f>Table1[[#This Row],[Total_drunk_drivers_killed]]/Table1[[#This Row],[Total_ drivers_killed]]</f>
        <v>0.34042553191489361</v>
      </c>
      <c r="T19">
        <f>ROUND(Table1[[#This Row],[Drivers Killed Drunk Prop]]*Table1[[#This Row],[Deaths]],0)</f>
        <v>132</v>
      </c>
      <c r="U19">
        <v>12.2</v>
      </c>
      <c r="V19">
        <v>1.4</v>
      </c>
      <c r="W19">
        <f>Table1[[#This Row],[Deaths_per_100000]]*Table1[[#This Row],[Alcohol-related Driving Fatalities (%)]]</f>
        <v>4.0015999999999998</v>
      </c>
      <c r="X19" s="3">
        <v>0.85</v>
      </c>
      <c r="Y19" s="4">
        <v>3.6</v>
      </c>
    </row>
    <row r="20" spans="1:25" ht="19.5" thickBot="1">
      <c r="A20" t="s">
        <v>54</v>
      </c>
      <c r="B20">
        <v>1.35</v>
      </c>
      <c r="C20">
        <v>0.19700000000000001</v>
      </c>
      <c r="D20">
        <v>2.0899999999999998E-2</v>
      </c>
      <c r="E20">
        <v>10.3</v>
      </c>
      <c r="F20">
        <v>322</v>
      </c>
      <c r="G20">
        <v>335</v>
      </c>
      <c r="H20">
        <v>10.5</v>
      </c>
      <c r="I20">
        <v>70</v>
      </c>
      <c r="J20">
        <v>5.95</v>
      </c>
      <c r="K20" s="1">
        <v>3417734</v>
      </c>
      <c r="L20" s="9">
        <v>3443222</v>
      </c>
      <c r="M20" s="1">
        <v>3443222</v>
      </c>
      <c r="N20" s="6">
        <f>+Table1[[#This Row],[Census Population]]/Table1[[#This Row],[Population]]</f>
        <v>1</v>
      </c>
      <c r="O20" s="1">
        <v>34584</v>
      </c>
      <c r="P20">
        <v>280</v>
      </c>
      <c r="Q20" s="10">
        <v>122</v>
      </c>
      <c r="R20">
        <v>29</v>
      </c>
      <c r="S20">
        <f>Table1[[#This Row],[Total_drunk_drivers_killed]]/Table1[[#This Row],[Total_ drivers_killed]]</f>
        <v>0.23770491803278687</v>
      </c>
      <c r="T20">
        <f>ROUND(Table1[[#This Row],[Drivers Killed Drunk Prop]]*Table1[[#This Row],[Deaths]],0)</f>
        <v>67</v>
      </c>
      <c r="U20">
        <v>8.1999999999999993</v>
      </c>
      <c r="V20">
        <v>0.81</v>
      </c>
      <c r="W20">
        <f>Table1[[#This Row],[Deaths_per_100000]]*Table1[[#This Row],[Alcohol-related Driving Fatalities (%)]]</f>
        <v>1.6153999999999999</v>
      </c>
      <c r="X20" s="3">
        <v>0.85</v>
      </c>
      <c r="Y20" s="4">
        <v>15.92</v>
      </c>
    </row>
    <row r="21" spans="1:25" ht="19.5" thickBot="1">
      <c r="A21" t="s">
        <v>21</v>
      </c>
      <c r="B21">
        <v>2.66</v>
      </c>
      <c r="C21">
        <v>0.38</v>
      </c>
      <c r="D21">
        <v>2.5999999999999999E-2</v>
      </c>
      <c r="E21">
        <v>7.8</v>
      </c>
      <c r="F21">
        <v>145</v>
      </c>
      <c r="G21">
        <v>142</v>
      </c>
      <c r="H21">
        <v>7.5</v>
      </c>
      <c r="I21">
        <v>60</v>
      </c>
      <c r="J21">
        <v>4</v>
      </c>
      <c r="K21" s="1">
        <v>1435138</v>
      </c>
      <c r="L21" s="9">
        <v>1441387</v>
      </c>
      <c r="M21" s="1">
        <v>1441387</v>
      </c>
      <c r="N21" s="6">
        <f>+Table1[[#This Row],[Census Population]]/Table1[[#This Row],[Population]]</f>
        <v>1</v>
      </c>
      <c r="O21" s="1">
        <v>10435</v>
      </c>
      <c r="P21">
        <v>93</v>
      </c>
      <c r="Q21" s="11">
        <v>31</v>
      </c>
      <c r="R21">
        <v>16</v>
      </c>
      <c r="S21">
        <f>Table1[[#This Row],[Total_drunk_drivers_killed]]/Table1[[#This Row],[Total_ drivers_killed]]</f>
        <v>0.5161290322580645</v>
      </c>
      <c r="T21">
        <f>ROUND(Table1[[#This Row],[Drivers Killed Drunk Prop]]*Table1[[#This Row],[Deaths]],0)</f>
        <v>48</v>
      </c>
      <c r="U21">
        <v>6.5</v>
      </c>
      <c r="V21">
        <v>0.89</v>
      </c>
      <c r="W21">
        <f>Table1[[#This Row],[Deaths_per_100000]]*Table1[[#This Row],[Alcohol-related Driving Fatalities (%)]]</f>
        <v>2.4700000000000002</v>
      </c>
      <c r="X21" s="3">
        <v>0.86199999999999999</v>
      </c>
      <c r="Y21" s="5">
        <v>5.98</v>
      </c>
    </row>
    <row r="22" spans="1:25" ht="19.5" thickBot="1">
      <c r="A22" t="s">
        <v>23</v>
      </c>
      <c r="B22">
        <v>2.39</v>
      </c>
      <c r="C22">
        <v>0.34200000000000003</v>
      </c>
      <c r="D22">
        <v>1.46E-2</v>
      </c>
      <c r="E22">
        <v>12.1</v>
      </c>
      <c r="F22" s="1">
        <v>1807</v>
      </c>
      <c r="G22" s="1">
        <v>1643</v>
      </c>
      <c r="H22">
        <v>10.9</v>
      </c>
      <c r="I22">
        <v>70</v>
      </c>
      <c r="J22">
        <v>6.25</v>
      </c>
      <c r="K22" s="1">
        <v>12549689</v>
      </c>
      <c r="L22" s="9">
        <v>12642259</v>
      </c>
      <c r="M22" s="1">
        <v>12642259</v>
      </c>
      <c r="N22" s="6">
        <f>+Table1[[#This Row],[Census Population]]/Table1[[#This Row],[Population]]</f>
        <v>1</v>
      </c>
      <c r="O22" s="1">
        <v>102871</v>
      </c>
      <c r="P22" s="1">
        <v>1241</v>
      </c>
      <c r="Q22" s="11">
        <v>599</v>
      </c>
      <c r="R22">
        <v>196</v>
      </c>
      <c r="S22">
        <f>Table1[[#This Row],[Total_drunk_drivers_killed]]/Table1[[#This Row],[Total_ drivers_killed]]</f>
        <v>0.32721202003338901</v>
      </c>
      <c r="T22">
        <f>ROUND(Table1[[#This Row],[Drivers Killed Drunk Prop]]*Table1[[#This Row],[Deaths]],0)</f>
        <v>406</v>
      </c>
      <c r="U22">
        <v>9.9</v>
      </c>
      <c r="V22">
        <v>1.21</v>
      </c>
      <c r="W22">
        <f>Table1[[#This Row],[Deaths_per_100000]]*Table1[[#This Row],[Alcohol-related Driving Fatalities (%)]]</f>
        <v>3.3858000000000006</v>
      </c>
      <c r="X22" s="3">
        <v>0.86699999999999999</v>
      </c>
      <c r="Y22" s="5">
        <v>8.5500000000000007</v>
      </c>
    </row>
    <row r="23" spans="1:25" ht="19.5" thickBot="1">
      <c r="A23" t="s">
        <v>16</v>
      </c>
      <c r="B23">
        <v>2.88</v>
      </c>
      <c r="C23">
        <v>0.34699999999999998</v>
      </c>
      <c r="D23">
        <v>2.8000000000000001E-2</v>
      </c>
      <c r="E23">
        <v>18.600000000000001</v>
      </c>
      <c r="F23" s="1">
        <v>1212</v>
      </c>
      <c r="G23" s="1">
        <v>1213</v>
      </c>
      <c r="H23">
        <v>18.399999999999999</v>
      </c>
      <c r="I23">
        <v>75</v>
      </c>
      <c r="J23">
        <v>2.9</v>
      </c>
      <c r="K23" s="1">
        <v>5877610</v>
      </c>
      <c r="L23" s="9">
        <v>5901339</v>
      </c>
      <c r="M23">
        <v>5901339</v>
      </c>
      <c r="N23" s="6">
        <f>+Table1[[#This Row],[Census Population]]/Table1[[#This Row],[Population]]</f>
        <v>1</v>
      </c>
      <c r="O23" s="1">
        <v>54654</v>
      </c>
      <c r="P23">
        <v>720</v>
      </c>
      <c r="Q23" s="11">
        <v>296</v>
      </c>
      <c r="R23">
        <v>102</v>
      </c>
      <c r="S23">
        <f>Table1[[#This Row],[Total_drunk_drivers_killed]]/Table1[[#This Row],[Total_ drivers_killed]]</f>
        <v>0.34459459459459457</v>
      </c>
      <c r="T23">
        <f>ROUND(Table1[[#This Row],[Drivers Killed Drunk Prop]]*Table1[[#This Row],[Deaths]],0)</f>
        <v>248</v>
      </c>
      <c r="U23">
        <v>12.2</v>
      </c>
      <c r="V23">
        <v>1.32</v>
      </c>
      <c r="W23">
        <f>Table1[[#This Row],[Deaths_per_100000]]*Table1[[#This Row],[Alcohol-related Driving Fatalities (%)]]</f>
        <v>4.2333999999999996</v>
      </c>
      <c r="X23" s="3">
        <v>0.877</v>
      </c>
      <c r="Y23" s="5">
        <v>2.2799999999999998</v>
      </c>
    </row>
    <row r="24" spans="1:25" ht="19.5" thickBot="1">
      <c r="A24" t="s">
        <v>19</v>
      </c>
      <c r="B24">
        <v>2.61</v>
      </c>
      <c r="C24">
        <v>0.28199999999999997</v>
      </c>
      <c r="D24">
        <v>1.11E-2</v>
      </c>
      <c r="E24">
        <v>12.9</v>
      </c>
      <c r="F24" s="1">
        <v>3848</v>
      </c>
      <c r="G24" s="1">
        <v>3556</v>
      </c>
      <c r="H24">
        <v>11.7</v>
      </c>
      <c r="I24">
        <v>70</v>
      </c>
      <c r="J24">
        <v>6</v>
      </c>
      <c r="K24" s="1">
        <v>22610726</v>
      </c>
      <c r="L24" s="9">
        <v>22904868</v>
      </c>
      <c r="M24" s="1">
        <v>22904868</v>
      </c>
      <c r="N24" s="6">
        <f>+Table1[[#This Row],[Census Population]]/Table1[[#This Row],[Population]]</f>
        <v>1</v>
      </c>
      <c r="O24" s="1">
        <v>239188</v>
      </c>
      <c r="P24" s="1">
        <v>3396</v>
      </c>
      <c r="Q24" s="13">
        <v>1202</v>
      </c>
      <c r="R24">
        <v>325</v>
      </c>
      <c r="S24">
        <f>Table1[[#This Row],[Total_drunk_drivers_killed]]/Table1[[#This Row],[Total_ drivers_killed]]</f>
        <v>0.2703826955074875</v>
      </c>
      <c r="T24">
        <f>ROUND(Table1[[#This Row],[Drivers Killed Drunk Prop]]*Table1[[#This Row],[Deaths]],0)</f>
        <v>918</v>
      </c>
      <c r="U24">
        <v>15</v>
      </c>
      <c r="V24">
        <v>1.42</v>
      </c>
      <c r="W24">
        <f>Table1[[#This Row],[Deaths_per_100000]]*Table1[[#This Row],[Alcohol-related Driving Fatalities (%)]]</f>
        <v>4.2299999999999995</v>
      </c>
      <c r="X24" s="3">
        <v>0.879</v>
      </c>
      <c r="Y24" s="5">
        <v>6.5</v>
      </c>
    </row>
    <row r="25" spans="1:25" ht="19.5" thickBot="1">
      <c r="A25" t="s">
        <v>41</v>
      </c>
      <c r="B25">
        <v>2.2400000000000002</v>
      </c>
      <c r="C25">
        <v>0.32100000000000001</v>
      </c>
      <c r="D25">
        <v>0.1182</v>
      </c>
      <c r="E25">
        <v>36.299999999999997</v>
      </c>
      <c r="F25">
        <v>829</v>
      </c>
      <c r="G25">
        <v>757</v>
      </c>
      <c r="H25">
        <v>31.9</v>
      </c>
      <c r="I25">
        <v>75</v>
      </c>
      <c r="J25">
        <v>5.13</v>
      </c>
      <c r="K25" s="1">
        <v>2114371</v>
      </c>
      <c r="L25" s="9">
        <v>2121164</v>
      </c>
      <c r="M25" s="1">
        <v>2121164</v>
      </c>
      <c r="N25" s="6">
        <f>+Table1[[#This Row],[Census Population]]/Table1[[#This Row],[Population]]</f>
        <v>1</v>
      </c>
      <c r="O25" s="1">
        <v>28169</v>
      </c>
      <c r="P25">
        <v>437</v>
      </c>
      <c r="Q25" s="11">
        <v>172</v>
      </c>
      <c r="R25">
        <v>59</v>
      </c>
      <c r="S25">
        <f>Table1[[#This Row],[Total_drunk_drivers_killed]]/Table1[[#This Row],[Total_ drivers_killed]]</f>
        <v>0.34302325581395349</v>
      </c>
      <c r="T25">
        <f>ROUND(Table1[[#This Row],[Drivers Killed Drunk Prop]]*Table1[[#This Row],[Deaths]],0)</f>
        <v>150</v>
      </c>
      <c r="U25">
        <v>20.7</v>
      </c>
      <c r="V25">
        <v>1.55</v>
      </c>
      <c r="W25">
        <f>Table1[[#This Row],[Deaths_per_100000]]*Table1[[#This Row],[Alcohol-related Driving Fatalities (%)]]</f>
        <v>6.6447000000000003</v>
      </c>
      <c r="X25" s="3">
        <v>0.88</v>
      </c>
      <c r="Y25" s="5">
        <v>6.06</v>
      </c>
    </row>
    <row r="26" spans="1:25" ht="19.5" thickBot="1">
      <c r="A26" t="s">
        <v>56</v>
      </c>
      <c r="B26">
        <v>2.13</v>
      </c>
      <c r="C26">
        <v>0.30499999999999999</v>
      </c>
      <c r="D26">
        <v>1.34E-2</v>
      </c>
      <c r="E26">
        <v>11.5</v>
      </c>
      <c r="F26" s="1">
        <v>1209</v>
      </c>
      <c r="G26" s="1">
        <v>1178</v>
      </c>
      <c r="H26">
        <v>11.1</v>
      </c>
      <c r="I26">
        <v>65</v>
      </c>
      <c r="J26">
        <v>5.3</v>
      </c>
      <c r="K26" s="1">
        <v>8715698</v>
      </c>
      <c r="L26" s="9">
        <v>8734685</v>
      </c>
      <c r="M26" s="1">
        <v>8734685</v>
      </c>
      <c r="N26" s="6">
        <f>+Table1[[#This Row],[Census Population]]/Table1[[#This Row],[Population]]</f>
        <v>1</v>
      </c>
      <c r="O26" s="1">
        <v>87730</v>
      </c>
      <c r="P26">
        <v>913</v>
      </c>
      <c r="Q26" s="10">
        <v>485</v>
      </c>
      <c r="R26">
        <v>138</v>
      </c>
      <c r="S26">
        <f>Table1[[#This Row],[Total_drunk_drivers_killed]]/Table1[[#This Row],[Total_ drivers_killed]]</f>
        <v>0.28453608247422679</v>
      </c>
      <c r="T26">
        <f>ROUND(Table1[[#This Row],[Drivers Killed Drunk Prop]]*Table1[[#This Row],[Deaths]],0)</f>
        <v>260</v>
      </c>
      <c r="U26">
        <v>10.5</v>
      </c>
      <c r="V26">
        <v>1.04</v>
      </c>
      <c r="W26">
        <f>Table1[[#This Row],[Deaths_per_100000]]*Table1[[#This Row],[Alcohol-related Driving Fatalities (%)]]</f>
        <v>3.2025000000000001</v>
      </c>
      <c r="X26" s="3">
        <v>0.88400000000000001</v>
      </c>
      <c r="Y26" s="4">
        <v>22.06</v>
      </c>
    </row>
    <row r="27" spans="1:25" ht="19.5" thickBot="1">
      <c r="A27" t="s">
        <v>26</v>
      </c>
      <c r="B27">
        <v>1.92</v>
      </c>
      <c r="C27">
        <v>0.27300000000000002</v>
      </c>
      <c r="D27">
        <v>2.6599999999999999E-2</v>
      </c>
      <c r="E27">
        <v>14.6</v>
      </c>
      <c r="F27">
        <v>481</v>
      </c>
      <c r="G27">
        <v>478</v>
      </c>
      <c r="H27">
        <v>14</v>
      </c>
      <c r="I27">
        <v>75</v>
      </c>
      <c r="J27">
        <v>6.5</v>
      </c>
      <c r="K27" s="1">
        <v>2940546</v>
      </c>
      <c r="L27" s="9">
        <v>2951500</v>
      </c>
      <c r="M27" s="1">
        <v>2951500</v>
      </c>
      <c r="N27" s="6">
        <f>+Table1[[#This Row],[Census Population]]/Table1[[#This Row],[Population]]</f>
        <v>1</v>
      </c>
      <c r="O27" s="1">
        <v>31828</v>
      </c>
      <c r="P27">
        <v>387</v>
      </c>
      <c r="Q27" s="10">
        <v>217</v>
      </c>
      <c r="R27">
        <v>60</v>
      </c>
      <c r="S27">
        <f>Table1[[#This Row],[Total_drunk_drivers_killed]]/Table1[[#This Row],[Total_ drivers_killed]]</f>
        <v>0.27649769585253459</v>
      </c>
      <c r="T27">
        <f>ROUND(Table1[[#This Row],[Drivers Killed Drunk Prop]]*Table1[[#This Row],[Deaths]],0)</f>
        <v>107</v>
      </c>
      <c r="U27">
        <v>13.2</v>
      </c>
      <c r="V27">
        <v>1.22</v>
      </c>
      <c r="W27">
        <f>Table1[[#This Row],[Deaths_per_100000]]*Table1[[#This Row],[Alcohol-related Driving Fatalities (%)]]</f>
        <v>3.6036000000000001</v>
      </c>
      <c r="X27" s="3">
        <v>0.88700000000000001</v>
      </c>
      <c r="Y27" s="4">
        <v>2.5</v>
      </c>
    </row>
    <row r="28" spans="1:25" ht="19.5" thickBot="1">
      <c r="A28" t="s">
        <v>35</v>
      </c>
      <c r="B28">
        <v>2.5099999999999998</v>
      </c>
      <c r="C28">
        <v>0.317</v>
      </c>
      <c r="D28">
        <v>1.61E-2</v>
      </c>
      <c r="E28">
        <v>14.2</v>
      </c>
      <c r="F28" s="1">
        <v>1047</v>
      </c>
      <c r="G28">
        <v>921</v>
      </c>
      <c r="H28">
        <v>12.2</v>
      </c>
      <c r="I28">
        <v>70</v>
      </c>
      <c r="J28">
        <v>4.2300000000000004</v>
      </c>
      <c r="K28" s="1">
        <v>6196156</v>
      </c>
      <c r="L28" s="9">
        <v>6208038</v>
      </c>
      <c r="M28" s="1">
        <v>6208038</v>
      </c>
      <c r="N28" s="6">
        <f>+Table1[[#This Row],[Census Population]]/Table1[[#This Row],[Population]]</f>
        <v>1</v>
      </c>
      <c r="O28" s="1">
        <v>80825</v>
      </c>
      <c r="P28">
        <v>991</v>
      </c>
      <c r="Q28" s="11">
        <v>479</v>
      </c>
      <c r="R28">
        <v>148</v>
      </c>
      <c r="S28">
        <f>Table1[[#This Row],[Total_drunk_drivers_killed]]/Table1[[#This Row],[Total_ drivers_killed]]</f>
        <v>0.3089770354906054</v>
      </c>
      <c r="T28">
        <f>ROUND(Table1[[#This Row],[Drivers Killed Drunk Prop]]*Table1[[#This Row],[Deaths]],0)</f>
        <v>306</v>
      </c>
      <c r="U28">
        <v>16</v>
      </c>
      <c r="V28">
        <v>1.23</v>
      </c>
      <c r="W28">
        <f>Table1[[#This Row],[Deaths_per_100000]]*Table1[[#This Row],[Alcohol-related Driving Fatalities (%)]]</f>
        <v>5.0720000000000001</v>
      </c>
      <c r="X28" s="3">
        <v>0.90800000000000003</v>
      </c>
      <c r="Y28" s="5">
        <v>2</v>
      </c>
    </row>
    <row r="29" spans="1:25" ht="19.5" thickBot="1">
      <c r="A29" t="s">
        <v>24</v>
      </c>
      <c r="B29">
        <v>2.15</v>
      </c>
      <c r="C29">
        <v>0.23599999999999999</v>
      </c>
      <c r="D29">
        <v>1.24E-2</v>
      </c>
      <c r="E29">
        <v>15.3</v>
      </c>
      <c r="F29" s="1">
        <v>1212</v>
      </c>
      <c r="G29" s="1">
        <v>1017</v>
      </c>
      <c r="H29">
        <v>12.7</v>
      </c>
      <c r="I29">
        <v>70</v>
      </c>
      <c r="J29">
        <v>7</v>
      </c>
      <c r="K29" s="1">
        <v>6862199</v>
      </c>
      <c r="L29" s="9">
        <v>6880131</v>
      </c>
      <c r="M29" s="1">
        <v>6880131</v>
      </c>
      <c r="N29" s="6">
        <f>+Table1[[#This Row],[Census Population]]/Table1[[#This Row],[Population]]</f>
        <v>1</v>
      </c>
      <c r="O29" s="1">
        <v>85209</v>
      </c>
      <c r="P29">
        <v>898</v>
      </c>
      <c r="Q29" s="10">
        <v>434</v>
      </c>
      <c r="R29">
        <v>131</v>
      </c>
      <c r="S29">
        <f>Table1[[#This Row],[Total_drunk_drivers_killed]]/Table1[[#This Row],[Total_ drivers_killed]]</f>
        <v>0.30184331797235026</v>
      </c>
      <c r="T29">
        <f>ROUND(Table1[[#This Row],[Drivers Killed Drunk Prop]]*Table1[[#This Row],[Deaths]],0)</f>
        <v>271</v>
      </c>
      <c r="U29">
        <v>13.1</v>
      </c>
      <c r="V29">
        <v>1.05</v>
      </c>
      <c r="W29">
        <f>Table1[[#This Row],[Deaths_per_100000]]*Table1[[#This Row],[Alcohol-related Driving Fatalities (%)]]</f>
        <v>3.0915999999999997</v>
      </c>
      <c r="X29" s="3">
        <v>0.91600000000000004</v>
      </c>
      <c r="Y29" s="4">
        <v>2.68</v>
      </c>
    </row>
    <row r="30" spans="1:25" ht="19.5" thickBot="1">
      <c r="A30" t="s">
        <v>45</v>
      </c>
      <c r="B30">
        <v>2.0299999999999998</v>
      </c>
      <c r="C30">
        <v>0.34300000000000003</v>
      </c>
      <c r="D30">
        <v>1.0699999999999999E-2</v>
      </c>
      <c r="E30">
        <v>13.9</v>
      </c>
      <c r="F30" s="1">
        <v>2009</v>
      </c>
      <c r="G30" s="1">
        <v>1894</v>
      </c>
      <c r="H30">
        <v>13.1</v>
      </c>
      <c r="I30">
        <v>70</v>
      </c>
      <c r="J30">
        <v>5.75</v>
      </c>
      <c r="K30" s="1">
        <v>11785935</v>
      </c>
      <c r="L30" s="9">
        <v>11824034</v>
      </c>
      <c r="M30" s="1">
        <v>11824034</v>
      </c>
      <c r="N30" s="6">
        <f>+Table1[[#This Row],[Census Population]]/Table1[[#This Row],[Population]]</f>
        <v>1</v>
      </c>
      <c r="O30" s="1">
        <v>113224</v>
      </c>
      <c r="P30" s="1">
        <v>1242</v>
      </c>
      <c r="Q30" s="11">
        <v>625</v>
      </c>
      <c r="R30">
        <v>197</v>
      </c>
      <c r="S30">
        <f>Table1[[#This Row],[Total_drunk_drivers_killed]]/Table1[[#This Row],[Total_ drivers_killed]]</f>
        <v>0.31519999999999998</v>
      </c>
      <c r="T30">
        <f>ROUND(Table1[[#This Row],[Drivers Killed Drunk Prop]]*Table1[[#This Row],[Deaths]],0)</f>
        <v>391</v>
      </c>
      <c r="U30">
        <v>10.5</v>
      </c>
      <c r="V30">
        <v>1.1000000000000001</v>
      </c>
      <c r="W30">
        <f>Table1[[#This Row],[Deaths_per_100000]]*Table1[[#This Row],[Alcohol-related Driving Fatalities (%)]]</f>
        <v>3.6015000000000001</v>
      </c>
      <c r="X30" s="3">
        <v>0.92600000000000005</v>
      </c>
      <c r="Y30" s="5">
        <v>11.38</v>
      </c>
    </row>
    <row r="31" spans="1:25" ht="19.5" thickBot="1">
      <c r="A31" t="s">
        <v>12</v>
      </c>
      <c r="B31">
        <v>2.85</v>
      </c>
      <c r="C31">
        <v>0.33800000000000002</v>
      </c>
      <c r="D31">
        <v>0.19939999999999999</v>
      </c>
      <c r="E31">
        <v>23.7</v>
      </c>
      <c r="F31">
        <v>185</v>
      </c>
      <c r="G31">
        <v>192</v>
      </c>
      <c r="H31">
        <v>24.8</v>
      </c>
      <c r="I31">
        <v>65</v>
      </c>
      <c r="J31">
        <v>0</v>
      </c>
      <c r="K31" s="1">
        <v>733406</v>
      </c>
      <c r="L31" s="9">
        <v>736510</v>
      </c>
      <c r="M31">
        <v>736510</v>
      </c>
      <c r="N31" s="6">
        <f>+Table1[[#This Row],[Census Population]]/Table1[[#This Row],[Population]]</f>
        <v>1</v>
      </c>
      <c r="O31" s="1">
        <v>5617</v>
      </c>
      <c r="P31">
        <v>60</v>
      </c>
      <c r="Q31" s="11">
        <v>24</v>
      </c>
      <c r="R31">
        <v>7</v>
      </c>
      <c r="S31">
        <f>Table1[[#This Row],[Total_drunk_drivers_killed]]/Table1[[#This Row],[Total_ drivers_killed]]</f>
        <v>0.29166666666666669</v>
      </c>
      <c r="T31">
        <f>ROUND(Table1[[#This Row],[Drivers Killed Drunk Prop]]*Table1[[#This Row],[Deaths]],0)</f>
        <v>18</v>
      </c>
      <c r="U31">
        <v>8.1999999999999993</v>
      </c>
      <c r="V31">
        <v>1.07</v>
      </c>
      <c r="W31">
        <f>Table1[[#This Row],[Deaths_per_100000]]*Table1[[#This Row],[Alcohol-related Driving Fatalities (%)]]</f>
        <v>2.7715999999999998</v>
      </c>
      <c r="X31" s="3">
        <v>0.93400000000000005</v>
      </c>
      <c r="Y31" s="5">
        <v>12.8</v>
      </c>
    </row>
    <row r="32" spans="1:25" ht="19.5" thickBot="1">
      <c r="A32" t="s">
        <v>47</v>
      </c>
      <c r="B32">
        <v>2.74</v>
      </c>
      <c r="C32">
        <v>0.32800000000000001</v>
      </c>
      <c r="D32">
        <v>3.56E-2</v>
      </c>
      <c r="E32">
        <v>17.100000000000001</v>
      </c>
      <c r="F32">
        <v>893</v>
      </c>
      <c r="G32">
        <v>862</v>
      </c>
      <c r="H32">
        <v>16.399999999999999</v>
      </c>
      <c r="I32">
        <v>70</v>
      </c>
      <c r="J32">
        <v>0</v>
      </c>
      <c r="K32" s="1">
        <v>4233358</v>
      </c>
      <c r="L32" s="9">
        <v>4253653</v>
      </c>
      <c r="M32" s="1">
        <v>4253653</v>
      </c>
      <c r="N32" s="6">
        <f>+Table1[[#This Row],[Census Population]]/Table1[[#This Row],[Population]]</f>
        <v>1</v>
      </c>
      <c r="O32" s="1">
        <v>36816</v>
      </c>
      <c r="P32">
        <v>587</v>
      </c>
      <c r="Q32" s="11">
        <v>284</v>
      </c>
      <c r="R32">
        <v>100</v>
      </c>
      <c r="S32">
        <f>Table1[[#This Row],[Total_drunk_drivers_killed]]/Table1[[#This Row],[Total_ drivers_killed]]</f>
        <v>0.352112676056338</v>
      </c>
      <c r="T32">
        <f>ROUND(Table1[[#This Row],[Drivers Killed Drunk Prop]]*Table1[[#This Row],[Deaths]],0)</f>
        <v>207</v>
      </c>
      <c r="U32">
        <v>13.9</v>
      </c>
      <c r="V32">
        <v>1.59</v>
      </c>
      <c r="W32">
        <f>Table1[[#This Row],[Deaths_per_100000]]*Table1[[#This Row],[Alcohol-related Driving Fatalities (%)]]</f>
        <v>4.5592000000000006</v>
      </c>
      <c r="X32" s="3">
        <v>0.94199999999999995</v>
      </c>
      <c r="Y32" s="5">
        <v>22.86</v>
      </c>
    </row>
    <row r="33" spans="1:25" ht="19.5" thickBot="1">
      <c r="A33" t="s">
        <v>55</v>
      </c>
      <c r="B33">
        <v>3.06</v>
      </c>
      <c r="C33">
        <v>0.33400000000000002</v>
      </c>
      <c r="D33">
        <v>1.43E-2</v>
      </c>
      <c r="E33">
        <v>11.5</v>
      </c>
      <c r="F33">
        <v>95</v>
      </c>
      <c r="G33">
        <v>96</v>
      </c>
      <c r="H33">
        <v>11.2</v>
      </c>
      <c r="I33">
        <v>80</v>
      </c>
      <c r="J33">
        <v>6</v>
      </c>
      <c r="K33" s="1">
        <v>647464</v>
      </c>
      <c r="L33" s="9">
        <v>648708</v>
      </c>
      <c r="M33" s="1">
        <v>648708</v>
      </c>
      <c r="N33" s="6">
        <f>+Table1[[#This Row],[Census Population]]/Table1[[#This Row],[Population]]</f>
        <v>1</v>
      </c>
      <c r="O33" s="1">
        <v>7172</v>
      </c>
      <c r="P33">
        <v>69</v>
      </c>
      <c r="Q33" s="11">
        <v>33</v>
      </c>
      <c r="R33">
        <v>11</v>
      </c>
      <c r="S33">
        <f>Table1[[#This Row],[Total_drunk_drivers_killed]]/Table1[[#This Row],[Total_ drivers_killed]]</f>
        <v>0.33333333333333331</v>
      </c>
      <c r="T33">
        <f>ROUND(Table1[[#This Row],[Drivers Killed Drunk Prop]]*Table1[[#This Row],[Deaths]],0)</f>
        <v>23</v>
      </c>
      <c r="U33">
        <v>10.7</v>
      </c>
      <c r="V33">
        <v>0.96</v>
      </c>
      <c r="W33">
        <f>Table1[[#This Row],[Deaths_per_100000]]*Table1[[#This Row],[Alcohol-related Driving Fatalities (%)]]</f>
        <v>3.5737999999999999</v>
      </c>
      <c r="X33" s="3">
        <v>0.94899999999999995</v>
      </c>
      <c r="Y33" s="5">
        <v>8.39</v>
      </c>
    </row>
    <row r="34" spans="1:25" ht="19.5" thickBot="1">
      <c r="A34" t="s">
        <v>32</v>
      </c>
      <c r="B34">
        <v>2.36</v>
      </c>
      <c r="C34">
        <v>0.29399999999999998</v>
      </c>
      <c r="D34">
        <v>1.6400000000000001E-2</v>
      </c>
      <c r="E34">
        <v>13.8</v>
      </c>
      <c r="F34" s="1">
        <v>1673</v>
      </c>
      <c r="G34" s="1">
        <v>1600</v>
      </c>
      <c r="H34">
        <v>13.2</v>
      </c>
      <c r="I34">
        <v>75</v>
      </c>
      <c r="J34">
        <v>6</v>
      </c>
      <c r="K34" s="1">
        <v>10037261</v>
      </c>
      <c r="L34" s="9">
        <v>10083356</v>
      </c>
      <c r="M34" s="1">
        <v>10083356</v>
      </c>
      <c r="N34" s="6">
        <f>+Table1[[#This Row],[Census Population]]/Table1[[#This Row],[Population]]</f>
        <v>1</v>
      </c>
      <c r="O34" s="1">
        <v>98289</v>
      </c>
      <c r="P34" s="1">
        <v>1094</v>
      </c>
      <c r="Q34" s="10">
        <v>514</v>
      </c>
      <c r="R34">
        <v>127</v>
      </c>
      <c r="S34">
        <f>Table1[[#This Row],[Total_drunk_drivers_killed]]/Table1[[#This Row],[Total_ drivers_killed]]</f>
        <v>0.24708171206225682</v>
      </c>
      <c r="T34">
        <f>ROUND(Table1[[#This Row],[Drivers Killed Drunk Prop]]*Table1[[#This Row],[Deaths]],0)</f>
        <v>270</v>
      </c>
      <c r="U34">
        <v>10.9</v>
      </c>
      <c r="V34">
        <v>1.1100000000000001</v>
      </c>
      <c r="W34">
        <f>Table1[[#This Row],[Deaths_per_100000]]*Table1[[#This Row],[Alcohol-related Driving Fatalities (%)]]</f>
        <v>3.2046000000000001</v>
      </c>
      <c r="X34" s="3">
        <v>0.95199999999999996</v>
      </c>
      <c r="Y34" s="4">
        <v>13.57</v>
      </c>
    </row>
    <row r="35" spans="1:25" ht="19.5" thickBot="1">
      <c r="A35" t="s">
        <v>33</v>
      </c>
      <c r="B35">
        <v>2.79</v>
      </c>
      <c r="C35">
        <v>0.309</v>
      </c>
      <c r="D35">
        <v>2.1399999999999999E-2</v>
      </c>
      <c r="E35">
        <v>13.5</v>
      </c>
      <c r="F35">
        <v>908</v>
      </c>
      <c r="G35">
        <v>843</v>
      </c>
      <c r="H35">
        <v>12.5</v>
      </c>
      <c r="I35">
        <v>70</v>
      </c>
      <c r="J35">
        <v>6.88</v>
      </c>
      <c r="K35" s="1">
        <v>5737915</v>
      </c>
      <c r="L35" s="9">
        <v>5753048</v>
      </c>
      <c r="M35" s="1">
        <v>5753048</v>
      </c>
      <c r="N35" s="6">
        <f>+Table1[[#This Row],[Census Population]]/Table1[[#This Row],[Population]]</f>
        <v>1</v>
      </c>
      <c r="O35" s="1">
        <v>58046</v>
      </c>
      <c r="P35">
        <v>409</v>
      </c>
      <c r="Q35" s="11">
        <v>200</v>
      </c>
      <c r="R35">
        <v>43</v>
      </c>
      <c r="S35">
        <f>Table1[[#This Row],[Total_drunk_drivers_killed]]/Table1[[#This Row],[Total_ drivers_killed]]</f>
        <v>0.215</v>
      </c>
      <c r="T35">
        <f>ROUND(Table1[[#This Row],[Drivers Killed Drunk Prop]]*Table1[[#This Row],[Deaths]],0)</f>
        <v>88</v>
      </c>
      <c r="U35">
        <v>7.1</v>
      </c>
      <c r="V35">
        <v>0.7</v>
      </c>
      <c r="W35">
        <f>Table1[[#This Row],[Deaths_per_100000]]*Table1[[#This Row],[Alcohol-related Driving Fatalities (%)]]</f>
        <v>2.1938999999999997</v>
      </c>
      <c r="X35" s="3">
        <v>0.96399999999999997</v>
      </c>
      <c r="Y35" s="5">
        <v>8.6999999999999993</v>
      </c>
    </row>
    <row r="36" spans="1:25" ht="19.5" thickBot="1">
      <c r="A36" t="s">
        <v>52</v>
      </c>
      <c r="B36">
        <v>2.14</v>
      </c>
      <c r="C36">
        <v>0.28000000000000003</v>
      </c>
      <c r="D36">
        <v>1.21E-2</v>
      </c>
      <c r="E36">
        <v>16.600000000000001</v>
      </c>
      <c r="F36" s="1">
        <v>1398</v>
      </c>
      <c r="G36" s="1">
        <v>1288</v>
      </c>
      <c r="H36">
        <v>15.1</v>
      </c>
      <c r="I36">
        <v>70</v>
      </c>
      <c r="J36">
        <v>7</v>
      </c>
      <c r="K36" s="1">
        <v>7126489</v>
      </c>
      <c r="L36" s="9">
        <v>7148304</v>
      </c>
      <c r="M36" s="1">
        <v>7148304</v>
      </c>
      <c r="N36" s="6">
        <f>+Table1[[#This Row],[Census Population]]/Table1[[#This Row],[Population]]</f>
        <v>1</v>
      </c>
      <c r="O36" s="1">
        <v>83405</v>
      </c>
      <c r="P36" s="1">
        <v>1323</v>
      </c>
      <c r="Q36" s="10">
        <v>656</v>
      </c>
      <c r="R36">
        <v>180</v>
      </c>
      <c r="S36">
        <f>Table1[[#This Row],[Total_drunk_drivers_killed]]/Table1[[#This Row],[Total_ drivers_killed]]</f>
        <v>0.27439024390243905</v>
      </c>
      <c r="T36">
        <f>ROUND(Table1[[#This Row],[Drivers Killed Drunk Prop]]*Table1[[#This Row],[Deaths]],0)</f>
        <v>363</v>
      </c>
      <c r="U36">
        <v>18.600000000000001</v>
      </c>
      <c r="V36">
        <v>1.59</v>
      </c>
      <c r="W36">
        <f>Table1[[#This Row],[Deaths_per_100000]]*Table1[[#This Row],[Alcohol-related Driving Fatalities (%)]]</f>
        <v>5.2080000000000011</v>
      </c>
      <c r="X36" s="3">
        <v>0.96399999999999997</v>
      </c>
      <c r="Y36" s="4">
        <v>4.46</v>
      </c>
    </row>
    <row r="37" spans="1:25" ht="19.5" thickBot="1">
      <c r="A37" t="s">
        <v>27</v>
      </c>
      <c r="B37">
        <v>1.95</v>
      </c>
      <c r="C37">
        <v>0.28499999999999998</v>
      </c>
      <c r="D37">
        <v>1.11E-2</v>
      </c>
      <c r="E37">
        <v>16</v>
      </c>
      <c r="F37">
        <v>867</v>
      </c>
      <c r="G37">
        <v>925</v>
      </c>
      <c r="H37">
        <v>16.8</v>
      </c>
      <c r="I37">
        <v>65</v>
      </c>
      <c r="J37">
        <v>6</v>
      </c>
      <c r="K37" s="1">
        <v>4526154</v>
      </c>
      <c r="L37" s="9">
        <v>4550595</v>
      </c>
      <c r="M37" s="1">
        <v>4550595</v>
      </c>
      <c r="N37" s="6">
        <f>+Table1[[#This Row],[Census Population]]/Table1[[#This Row],[Population]]</f>
        <v>1</v>
      </c>
      <c r="O37" s="1">
        <v>48993</v>
      </c>
      <c r="P37">
        <v>814</v>
      </c>
      <c r="Q37" s="11">
        <v>412</v>
      </c>
      <c r="R37">
        <v>91</v>
      </c>
      <c r="S37">
        <f>Table1[[#This Row],[Total_drunk_drivers_killed]]/Table1[[#This Row],[Total_ drivers_killed]]</f>
        <v>0.220873786407767</v>
      </c>
      <c r="T37">
        <f>ROUND(Table1[[#This Row],[Drivers Killed Drunk Prop]]*Table1[[#This Row],[Deaths]],0)</f>
        <v>180</v>
      </c>
      <c r="U37">
        <v>18</v>
      </c>
      <c r="V37">
        <v>1.66</v>
      </c>
      <c r="W37">
        <f>Table1[[#This Row],[Deaths_per_100000]]*Table1[[#This Row],[Alcohol-related Driving Fatalities (%)]]</f>
        <v>5.13</v>
      </c>
      <c r="X37" s="3">
        <v>0.97799999999999998</v>
      </c>
      <c r="Y37" s="5">
        <v>9.25</v>
      </c>
    </row>
    <row r="38" spans="1:25" ht="19.5" thickBot="1">
      <c r="A38" t="s">
        <v>50</v>
      </c>
      <c r="B38">
        <v>2.16</v>
      </c>
      <c r="C38">
        <v>0.378</v>
      </c>
      <c r="D38">
        <v>1.24E-2</v>
      </c>
      <c r="E38">
        <v>16.8</v>
      </c>
      <c r="F38" s="1">
        <v>1088</v>
      </c>
      <c r="G38" s="1">
        <v>1009</v>
      </c>
      <c r="H38">
        <v>15</v>
      </c>
      <c r="I38">
        <v>70</v>
      </c>
      <c r="J38">
        <v>6</v>
      </c>
      <c r="K38" s="1">
        <v>5373555</v>
      </c>
      <c r="L38" s="9">
        <v>5387830</v>
      </c>
      <c r="M38" s="1">
        <v>5387830</v>
      </c>
      <c r="N38" s="6">
        <f>+Table1[[#This Row],[Census Population]]/Table1[[#This Row],[Population]]</f>
        <v>1</v>
      </c>
      <c r="O38" s="1">
        <v>60794</v>
      </c>
      <c r="P38" s="1">
        <v>1047</v>
      </c>
      <c r="Q38" s="10">
        <v>519</v>
      </c>
      <c r="R38">
        <v>208</v>
      </c>
      <c r="S38">
        <f>Table1[[#This Row],[Total_drunk_drivers_killed]]/Table1[[#This Row],[Total_ drivers_killed]]</f>
        <v>0.40077071290944122</v>
      </c>
      <c r="T38">
        <f>ROUND(Table1[[#This Row],[Drivers Killed Drunk Prop]]*Table1[[#This Row],[Deaths]],0)</f>
        <v>420</v>
      </c>
      <c r="U38">
        <v>19.5</v>
      </c>
      <c r="V38">
        <v>1.72</v>
      </c>
      <c r="W38">
        <f>Table1[[#This Row],[Deaths_per_100000]]*Table1[[#This Row],[Alcohol-related Driving Fatalities (%)]]</f>
        <v>7.3710000000000004</v>
      </c>
      <c r="X38" s="3">
        <v>0.98</v>
      </c>
      <c r="Y38" s="4">
        <v>5.42</v>
      </c>
    </row>
    <row r="39" spans="1:25" ht="19.5" thickBot="1">
      <c r="A39" t="s">
        <v>59</v>
      </c>
      <c r="B39">
        <v>2.93</v>
      </c>
      <c r="C39">
        <v>0.36899999999999999</v>
      </c>
      <c r="D39">
        <v>1.78E-2</v>
      </c>
      <c r="E39">
        <v>12.5</v>
      </c>
      <c r="F39">
        <v>919</v>
      </c>
      <c r="G39">
        <v>911</v>
      </c>
      <c r="H39">
        <v>12.3</v>
      </c>
      <c r="I39">
        <v>70</v>
      </c>
      <c r="J39">
        <v>5</v>
      </c>
      <c r="K39" s="1">
        <v>5910955</v>
      </c>
      <c r="L39" s="9">
        <v>5930405</v>
      </c>
      <c r="M39" s="1">
        <v>5930405</v>
      </c>
      <c r="N39" s="6">
        <f>+Table1[[#This Row],[Census Population]]/Table1[[#This Row],[Population]]</f>
        <v>1</v>
      </c>
      <c r="O39" s="1">
        <v>67248</v>
      </c>
      <c r="P39">
        <v>583</v>
      </c>
      <c r="Q39" s="11">
        <v>284</v>
      </c>
      <c r="R39">
        <v>76</v>
      </c>
      <c r="S39">
        <f>Table1[[#This Row],[Total_drunk_drivers_killed]]/Table1[[#This Row],[Total_ drivers_killed]]</f>
        <v>0.26760563380281688</v>
      </c>
      <c r="T39">
        <f>ROUND(Table1[[#This Row],[Drivers Killed Drunk Prop]]*Table1[[#This Row],[Deaths]],0)</f>
        <v>156</v>
      </c>
      <c r="U39">
        <v>9.9</v>
      </c>
      <c r="V39">
        <v>0.87</v>
      </c>
      <c r="W39">
        <f>Table1[[#This Row],[Deaths_per_100000]]*Table1[[#This Row],[Alcohol-related Driving Fatalities (%)]]</f>
        <v>3.6531000000000002</v>
      </c>
      <c r="X39" s="3">
        <v>0.98099999999999998</v>
      </c>
      <c r="Y39" s="5">
        <v>3.25</v>
      </c>
    </row>
    <row r="40" spans="1:25" ht="19.5" thickBot="1">
      <c r="A40" t="s">
        <v>37</v>
      </c>
      <c r="B40">
        <v>2.16</v>
      </c>
      <c r="C40">
        <v>0.35599999999999998</v>
      </c>
      <c r="D40">
        <v>2.1499999999999998E-2</v>
      </c>
      <c r="E40">
        <v>14.1</v>
      </c>
      <c r="F40">
        <v>299</v>
      </c>
      <c r="G40">
        <v>295</v>
      </c>
      <c r="H40">
        <v>13.6</v>
      </c>
      <c r="I40">
        <v>75</v>
      </c>
      <c r="J40">
        <v>5.5</v>
      </c>
      <c r="K40" s="1">
        <v>1978379</v>
      </c>
      <c r="L40" s="9">
        <v>1987864</v>
      </c>
      <c r="M40" s="1">
        <v>1987864</v>
      </c>
      <c r="N40" s="6">
        <f>+Table1[[#This Row],[Census Population]]/Table1[[#This Row],[Population]]</f>
        <v>1</v>
      </c>
      <c r="O40" s="1">
        <v>21275</v>
      </c>
      <c r="P40">
        <v>227</v>
      </c>
      <c r="Q40" s="11">
        <v>132</v>
      </c>
      <c r="R40">
        <v>40</v>
      </c>
      <c r="S40">
        <f>Table1[[#This Row],[Total_drunk_drivers_killed]]/Table1[[#This Row],[Total_ drivers_killed]]</f>
        <v>0.30303030303030304</v>
      </c>
      <c r="T40">
        <f>ROUND(Table1[[#This Row],[Drivers Killed Drunk Prop]]*Table1[[#This Row],[Deaths]],0)</f>
        <v>69</v>
      </c>
      <c r="U40">
        <v>11.5</v>
      </c>
      <c r="V40">
        <v>1.07</v>
      </c>
      <c r="W40">
        <f>Table1[[#This Row],[Deaths_per_100000]]*Table1[[#This Row],[Alcohol-related Driving Fatalities (%)]]</f>
        <v>4.0939999999999994</v>
      </c>
      <c r="X40" s="3">
        <v>0.98399999999999999</v>
      </c>
      <c r="Y40" s="5">
        <v>3.75</v>
      </c>
    </row>
    <row r="41" spans="1:25" ht="19.5" thickBot="1">
      <c r="A41" t="s">
        <v>29</v>
      </c>
      <c r="B41">
        <v>2.85</v>
      </c>
      <c r="C41">
        <v>0.39800000000000002</v>
      </c>
      <c r="D41">
        <v>1.5800000000000002E-2</v>
      </c>
      <c r="E41">
        <v>15.9</v>
      </c>
      <c r="F41">
        <v>304</v>
      </c>
      <c r="G41">
        <v>277</v>
      </c>
      <c r="H41">
        <v>14.7</v>
      </c>
      <c r="I41">
        <v>75</v>
      </c>
      <c r="J41">
        <v>5.5</v>
      </c>
      <c r="K41" s="1">
        <v>1395722</v>
      </c>
      <c r="L41" s="9">
        <v>1399646</v>
      </c>
      <c r="M41" s="1">
        <v>1399646</v>
      </c>
      <c r="N41" s="6">
        <f>+Table1[[#This Row],[Census Population]]/Table1[[#This Row],[Population]]</f>
        <v>1</v>
      </c>
      <c r="O41" s="1">
        <v>14888</v>
      </c>
      <c r="P41">
        <v>135</v>
      </c>
      <c r="Q41" s="11">
        <v>73</v>
      </c>
      <c r="R41">
        <v>21</v>
      </c>
      <c r="S41">
        <f>Table1[[#This Row],[Total_drunk_drivers_killed]]/Table1[[#This Row],[Total_ drivers_killed]]</f>
        <v>0.28767123287671231</v>
      </c>
      <c r="T41">
        <f>ROUND(Table1[[#This Row],[Drivers Killed Drunk Prop]]*Table1[[#This Row],[Deaths]],0)</f>
        <v>39</v>
      </c>
      <c r="U41">
        <v>9.6999999999999993</v>
      </c>
      <c r="V41">
        <v>0.91</v>
      </c>
      <c r="W41">
        <f>Table1[[#This Row],[Deaths_per_100000]]*Table1[[#This Row],[Alcohol-related Driving Fatalities (%)]]</f>
        <v>3.8605999999999998</v>
      </c>
      <c r="X41" s="3">
        <v>1.006</v>
      </c>
      <c r="Y41" s="5">
        <v>11.96</v>
      </c>
    </row>
    <row r="42" spans="1:25" ht="19.5" thickBot="1">
      <c r="A42" t="s">
        <v>39</v>
      </c>
      <c r="B42">
        <v>4.67</v>
      </c>
      <c r="C42">
        <v>0.312</v>
      </c>
      <c r="D42">
        <v>9.7999999999999997E-3</v>
      </c>
      <c r="E42">
        <v>14.8</v>
      </c>
      <c r="F42">
        <v>266</v>
      </c>
      <c r="G42">
        <v>230</v>
      </c>
      <c r="H42">
        <v>12.1</v>
      </c>
      <c r="I42">
        <v>65</v>
      </c>
      <c r="J42">
        <v>0</v>
      </c>
      <c r="K42" s="1">
        <v>1402054</v>
      </c>
      <c r="L42" s="9">
        <v>1402199</v>
      </c>
      <c r="M42" s="1">
        <v>1402199</v>
      </c>
      <c r="N42" s="6">
        <f>+Table1[[#This Row],[Census Population]]/Table1[[#This Row],[Population]]</f>
        <v>1</v>
      </c>
      <c r="O42" s="1">
        <v>13515</v>
      </c>
      <c r="P42">
        <v>130</v>
      </c>
      <c r="Q42" s="11">
        <v>56</v>
      </c>
      <c r="R42">
        <v>17</v>
      </c>
      <c r="S42">
        <f>Table1[[#This Row],[Total_drunk_drivers_killed]]/Table1[[#This Row],[Total_ drivers_killed]]</f>
        <v>0.30357142857142855</v>
      </c>
      <c r="T42">
        <f>ROUND(Table1[[#This Row],[Drivers Killed Drunk Prop]]*Table1[[#This Row],[Deaths]],0)</f>
        <v>39</v>
      </c>
      <c r="U42">
        <v>9.3000000000000007</v>
      </c>
      <c r="V42">
        <v>0.96</v>
      </c>
      <c r="W42">
        <f>Table1[[#This Row],[Deaths_per_100000]]*Table1[[#This Row],[Alcohol-related Driving Fatalities (%)]]</f>
        <v>2.9016000000000002</v>
      </c>
      <c r="X42" s="3">
        <v>1.022</v>
      </c>
      <c r="Y42" s="5">
        <v>0</v>
      </c>
    </row>
    <row r="43" spans="1:25" ht="19.5" thickBot="1">
      <c r="A43" t="s">
        <v>57</v>
      </c>
      <c r="B43">
        <v>2.2200000000000002</v>
      </c>
      <c r="C43">
        <v>0.35</v>
      </c>
      <c r="D43">
        <v>3.1600000000000003E-2</v>
      </c>
      <c r="E43">
        <v>15.1</v>
      </c>
      <c r="F43" s="1">
        <v>1371</v>
      </c>
      <c r="G43" s="1">
        <v>1207</v>
      </c>
      <c r="H43">
        <v>13.3</v>
      </c>
      <c r="I43">
        <v>70</v>
      </c>
      <c r="J43">
        <v>6.5</v>
      </c>
      <c r="K43" s="1">
        <v>7812880</v>
      </c>
      <c r="L43" s="9">
        <v>7857320</v>
      </c>
      <c r="M43" s="1">
        <v>7857320</v>
      </c>
      <c r="N43" s="6">
        <f>+Table1[[#This Row],[Census Population]]/Table1[[#This Row],[Population]]</f>
        <v>1</v>
      </c>
      <c r="O43" s="1">
        <v>59804</v>
      </c>
      <c r="P43">
        <v>810</v>
      </c>
      <c r="Q43" s="11">
        <v>311</v>
      </c>
      <c r="R43">
        <v>125</v>
      </c>
      <c r="S43">
        <f>Table1[[#This Row],[Total_drunk_drivers_killed]]/Table1[[#This Row],[Total_ drivers_killed]]</f>
        <v>0.40192926045016075</v>
      </c>
      <c r="T43">
        <f>ROUND(Table1[[#This Row],[Drivers Killed Drunk Prop]]*Table1[[#This Row],[Deaths]],0)</f>
        <v>326</v>
      </c>
      <c r="U43">
        <v>10.4</v>
      </c>
      <c r="V43">
        <v>1.35</v>
      </c>
      <c r="W43">
        <f>Table1[[#This Row],[Deaths_per_100000]]*Table1[[#This Row],[Alcohol-related Driving Fatalities (%)]]</f>
        <v>3.6399999999999997</v>
      </c>
      <c r="X43" s="3">
        <v>1.0289999999999999</v>
      </c>
      <c r="Y43" s="5">
        <v>36.549999999999997</v>
      </c>
    </row>
    <row r="44" spans="1:25" ht="19.5" thickBot="1">
      <c r="A44" t="s">
        <v>22</v>
      </c>
      <c r="B44">
        <v>2.94</v>
      </c>
      <c r="C44">
        <v>0.32400000000000001</v>
      </c>
      <c r="D44">
        <v>2.6499999999999999E-2</v>
      </c>
      <c r="E44">
        <v>14.2</v>
      </c>
      <c r="F44">
        <v>315</v>
      </c>
      <c r="G44">
        <v>327</v>
      </c>
      <c r="H44">
        <v>14.4</v>
      </c>
      <c r="I44">
        <v>80</v>
      </c>
      <c r="J44">
        <v>6</v>
      </c>
      <c r="K44" s="1">
        <v>1964726</v>
      </c>
      <c r="L44" s="9">
        <v>1971122</v>
      </c>
      <c r="M44" s="1">
        <v>1971122</v>
      </c>
      <c r="N44" s="6">
        <f>+Table1[[#This Row],[Census Population]]/Table1[[#This Row],[Population]]</f>
        <v>1</v>
      </c>
      <c r="O44" s="1">
        <v>19718</v>
      </c>
      <c r="P44">
        <v>275</v>
      </c>
      <c r="Q44" s="10">
        <v>122</v>
      </c>
      <c r="R44">
        <v>25</v>
      </c>
      <c r="S44">
        <f>Table1[[#This Row],[Total_drunk_drivers_killed]]/Table1[[#This Row],[Total_ drivers_killed]]</f>
        <v>0.20491803278688525</v>
      </c>
      <c r="T44">
        <f>ROUND(Table1[[#This Row],[Drivers Killed Drunk Prop]]*Table1[[#This Row],[Deaths]],0)</f>
        <v>56</v>
      </c>
      <c r="U44">
        <v>14</v>
      </c>
      <c r="V44">
        <v>1.39</v>
      </c>
      <c r="W44">
        <f>Table1[[#This Row],[Deaths_per_100000]]*Table1[[#This Row],[Alcohol-related Driving Fatalities (%)]]</f>
        <v>4.5360000000000005</v>
      </c>
      <c r="X44" s="3">
        <v>1.038</v>
      </c>
      <c r="Y44" s="4">
        <v>12.15</v>
      </c>
    </row>
    <row r="45" spans="1:25" ht="19.5" thickBot="1">
      <c r="A45" t="s">
        <v>11</v>
      </c>
      <c r="B45">
        <v>1.99</v>
      </c>
      <c r="C45">
        <v>0.29399999999999998</v>
      </c>
      <c r="D45">
        <v>1.54E-2</v>
      </c>
      <c r="E45">
        <v>15.5</v>
      </c>
      <c r="F45">
        <v>967</v>
      </c>
      <c r="G45">
        <v>952</v>
      </c>
      <c r="H45">
        <v>15.1</v>
      </c>
      <c r="I45">
        <v>70</v>
      </c>
      <c r="J45">
        <v>4</v>
      </c>
      <c r="K45" s="1">
        <v>5108468</v>
      </c>
      <c r="L45" s="9">
        <v>5117673</v>
      </c>
      <c r="M45">
        <v>5117673</v>
      </c>
      <c r="N45" s="6">
        <f>+Table1[[#This Row],[Census Population]]/Table1[[#This Row],[Population]]</f>
        <v>1</v>
      </c>
      <c r="O45" s="1">
        <v>72289</v>
      </c>
      <c r="P45">
        <v>974</v>
      </c>
      <c r="Q45" s="10">
        <v>554</v>
      </c>
      <c r="R45">
        <v>157</v>
      </c>
      <c r="S45">
        <f>Table1[[#This Row],[Total_drunk_drivers_killed]]/Table1[[#This Row],[Total_ drivers_killed]]</f>
        <v>0.28339350180505413</v>
      </c>
      <c r="T45">
        <f>ROUND(Table1[[#This Row],[Drivers Killed Drunk Prop]]*Table1[[#This Row],[Deaths]],0)</f>
        <v>276</v>
      </c>
      <c r="U45">
        <v>19.100000000000001</v>
      </c>
      <c r="V45">
        <v>1.35</v>
      </c>
      <c r="W45">
        <f>Table1[[#This Row],[Deaths_per_100000]]*Table1[[#This Row],[Alcohol-related Driving Fatalities (%)]]</f>
        <v>5.6154000000000002</v>
      </c>
      <c r="X45" s="3">
        <v>1.0820000000000001</v>
      </c>
      <c r="Y45" s="4">
        <v>21.69</v>
      </c>
    </row>
    <row r="46" spans="1:25" ht="19.5" thickBot="1">
      <c r="A46" t="s">
        <v>14</v>
      </c>
      <c r="B46">
        <v>1.78</v>
      </c>
      <c r="C46">
        <v>0.28399999999999997</v>
      </c>
      <c r="D46">
        <v>2.3599999999999999E-2</v>
      </c>
      <c r="E46">
        <v>16.399999999999999</v>
      </c>
      <c r="F46">
        <v>606</v>
      </c>
      <c r="G46">
        <v>618</v>
      </c>
      <c r="H46">
        <v>16.8</v>
      </c>
      <c r="I46">
        <v>75</v>
      </c>
      <c r="J46">
        <v>6.5</v>
      </c>
      <c r="K46" s="1">
        <v>3067732</v>
      </c>
      <c r="L46" s="9">
        <v>3069463</v>
      </c>
      <c r="M46">
        <v>3069463</v>
      </c>
      <c r="N46" s="6">
        <f>+Table1[[#This Row],[Census Population]]/Table1[[#This Row],[Population]]</f>
        <v>1</v>
      </c>
      <c r="O46" s="1">
        <v>39101</v>
      </c>
      <c r="P46">
        <v>596</v>
      </c>
      <c r="Q46" s="11">
        <v>272</v>
      </c>
      <c r="R46">
        <v>85</v>
      </c>
      <c r="S46">
        <f>Table1[[#This Row],[Total_drunk_drivers_killed]]/Table1[[#This Row],[Total_ drivers_killed]]</f>
        <v>0.3125</v>
      </c>
      <c r="T46">
        <f>ROUND(Table1[[#This Row],[Drivers Killed Drunk Prop]]*Table1[[#This Row],[Deaths]],0)</f>
        <v>186</v>
      </c>
      <c r="U46">
        <v>19.399999999999999</v>
      </c>
      <c r="V46">
        <v>1.52</v>
      </c>
      <c r="W46">
        <f>Table1[[#This Row],[Deaths_per_100000]]*Table1[[#This Row],[Alcohol-related Driving Fatalities (%)]]</f>
        <v>5.5095999999999989</v>
      </c>
      <c r="X46" s="3">
        <v>1.1739999999999999</v>
      </c>
      <c r="Y46" s="5">
        <v>8.01</v>
      </c>
    </row>
    <row r="47" spans="1:25" ht="19.5" thickBot="1">
      <c r="A47" t="s">
        <v>44</v>
      </c>
      <c r="B47">
        <v>3.16</v>
      </c>
      <c r="C47">
        <v>0.46700000000000003</v>
      </c>
      <c r="D47">
        <v>6.2100000000000002E-2</v>
      </c>
      <c r="E47">
        <v>18.2</v>
      </c>
      <c r="F47">
        <v>143</v>
      </c>
      <c r="G47">
        <v>149</v>
      </c>
      <c r="H47">
        <v>17.899999999999999</v>
      </c>
      <c r="I47">
        <v>75</v>
      </c>
      <c r="J47">
        <v>5</v>
      </c>
      <c r="K47" s="1">
        <v>783926</v>
      </c>
      <c r="L47" s="9">
        <v>789047</v>
      </c>
      <c r="M47" s="1">
        <v>789047</v>
      </c>
      <c r="N47" s="6">
        <f>+Table1[[#This Row],[Census Population]]/Table1[[#This Row],[Population]]</f>
        <v>1</v>
      </c>
      <c r="O47" s="1">
        <v>9896</v>
      </c>
      <c r="P47">
        <v>106</v>
      </c>
      <c r="Q47" s="10">
        <v>55</v>
      </c>
      <c r="R47">
        <v>16</v>
      </c>
      <c r="S47">
        <f>Table1[[#This Row],[Total_drunk_drivers_killed]]/Table1[[#This Row],[Total_ drivers_killed]]</f>
        <v>0.29090909090909089</v>
      </c>
      <c r="T47">
        <f>ROUND(Table1[[#This Row],[Drivers Killed Drunk Prop]]*Table1[[#This Row],[Deaths]],0)</f>
        <v>31</v>
      </c>
      <c r="U47">
        <v>13.5</v>
      </c>
      <c r="V47">
        <v>1.07</v>
      </c>
      <c r="W47">
        <f>Table1[[#This Row],[Deaths_per_100000]]*Table1[[#This Row],[Alcohol-related Driving Fatalities (%)]]</f>
        <v>6.3045</v>
      </c>
      <c r="X47" s="3">
        <v>1.1890000000000001</v>
      </c>
      <c r="Y47" s="4">
        <v>4.68</v>
      </c>
    </row>
    <row r="48" spans="1:25" ht="19.5" thickBot="1">
      <c r="A48" t="s">
        <v>25</v>
      </c>
      <c r="B48">
        <v>2.39</v>
      </c>
      <c r="C48">
        <v>0.254</v>
      </c>
      <c r="D48">
        <v>1.2200000000000001E-2</v>
      </c>
      <c r="E48">
        <v>14.3</v>
      </c>
      <c r="F48">
        <v>522</v>
      </c>
      <c r="G48">
        <v>409</v>
      </c>
      <c r="H48">
        <v>11.1</v>
      </c>
      <c r="I48">
        <v>70</v>
      </c>
      <c r="J48">
        <v>6</v>
      </c>
      <c r="K48" s="1">
        <v>3207004</v>
      </c>
      <c r="L48" s="9">
        <v>3218414</v>
      </c>
      <c r="M48" s="1">
        <v>3218414</v>
      </c>
      <c r="N48" s="6">
        <f>+Table1[[#This Row],[Census Population]]/Table1[[#This Row],[Population]]</f>
        <v>1</v>
      </c>
      <c r="O48" s="1">
        <v>33254</v>
      </c>
      <c r="P48">
        <v>377</v>
      </c>
      <c r="Q48" s="11">
        <v>184</v>
      </c>
      <c r="R48">
        <v>62</v>
      </c>
      <c r="S48">
        <f>Table1[[#This Row],[Total_drunk_drivers_killed]]/Table1[[#This Row],[Total_ drivers_killed]]</f>
        <v>0.33695652173913043</v>
      </c>
      <c r="T48">
        <f>ROUND(Table1[[#This Row],[Drivers Killed Drunk Prop]]*Table1[[#This Row],[Deaths]],0)</f>
        <v>127</v>
      </c>
      <c r="U48">
        <v>11.8</v>
      </c>
      <c r="V48">
        <v>1.1299999999999999</v>
      </c>
      <c r="W48">
        <f>Table1[[#This Row],[Deaths_per_100000]]*Table1[[#This Row],[Alcohol-related Driving Fatalities (%)]]</f>
        <v>2.9972000000000003</v>
      </c>
      <c r="X48" s="3">
        <v>1.2010000000000001</v>
      </c>
      <c r="Y48" s="5">
        <v>14.1</v>
      </c>
    </row>
    <row r="49" spans="1:25" ht="19.5" thickBot="1">
      <c r="A49" t="s">
        <v>60</v>
      </c>
      <c r="B49">
        <v>2.78</v>
      </c>
      <c r="C49">
        <v>0.35299999999999998</v>
      </c>
      <c r="D49">
        <v>3.8100000000000002E-2</v>
      </c>
      <c r="E49">
        <v>24.3</v>
      </c>
      <c r="F49">
        <v>162</v>
      </c>
      <c r="G49">
        <v>123</v>
      </c>
      <c r="H49">
        <v>19.3</v>
      </c>
      <c r="I49">
        <v>80</v>
      </c>
      <c r="J49">
        <v>4</v>
      </c>
      <c r="K49" s="1">
        <v>584057</v>
      </c>
      <c r="L49" s="9">
        <v>585067</v>
      </c>
      <c r="M49" s="1">
        <v>585067</v>
      </c>
      <c r="N49" s="6">
        <f>+Table1[[#This Row],[Census Population]]/Table1[[#This Row],[Population]]</f>
        <v>1</v>
      </c>
      <c r="O49" s="1">
        <v>9519</v>
      </c>
      <c r="P49">
        <v>144</v>
      </c>
      <c r="Q49" s="10">
        <v>71</v>
      </c>
      <c r="R49">
        <v>17</v>
      </c>
      <c r="S49">
        <f>Table1[[#This Row],[Total_drunk_drivers_killed]]/Table1[[#This Row],[Total_ drivers_killed]]</f>
        <v>0.23943661971830985</v>
      </c>
      <c r="T49">
        <f>ROUND(Table1[[#This Row],[Drivers Killed Drunk Prop]]*Table1[[#This Row],[Deaths]],0)</f>
        <v>34</v>
      </c>
      <c r="U49">
        <v>24.7</v>
      </c>
      <c r="V49">
        <v>1.51</v>
      </c>
      <c r="W49">
        <f>Table1[[#This Row],[Deaths_per_100000]]*Table1[[#This Row],[Alcohol-related Driving Fatalities (%)]]</f>
        <v>8.7190999999999992</v>
      </c>
      <c r="X49" s="3">
        <v>1.5029999999999999</v>
      </c>
      <c r="Y49" s="4">
        <v>0</v>
      </c>
    </row>
    <row r="50" spans="1:25" ht="19.5" thickBot="1">
      <c r="A50" t="s">
        <v>51</v>
      </c>
      <c r="B50">
        <v>2.37</v>
      </c>
      <c r="C50">
        <v>0.35199999999999998</v>
      </c>
      <c r="D50">
        <v>9.7699999999999995E-2</v>
      </c>
      <c r="E50">
        <v>31.1</v>
      </c>
      <c r="F50">
        <v>283</v>
      </c>
      <c r="G50">
        <v>236</v>
      </c>
      <c r="H50">
        <v>26.2</v>
      </c>
      <c r="I50">
        <v>80</v>
      </c>
      <c r="J50">
        <v>4</v>
      </c>
      <c r="K50" s="1">
        <v>919318</v>
      </c>
      <c r="L50" s="9">
        <v>918305</v>
      </c>
      <c r="M50" s="1">
        <v>918305</v>
      </c>
      <c r="N50" s="6">
        <f>+Table1[[#This Row],[Census Population]]/Table1[[#This Row],[Population]]</f>
        <v>1</v>
      </c>
      <c r="O50" s="1">
        <v>10345</v>
      </c>
      <c r="P50">
        <v>140</v>
      </c>
      <c r="Q50" s="11">
        <v>61</v>
      </c>
      <c r="R50">
        <v>19</v>
      </c>
      <c r="S50">
        <f>Table1[[#This Row],[Total_drunk_drivers_killed]]/Table1[[#This Row],[Total_ drivers_killed]]</f>
        <v>0.31147540983606559</v>
      </c>
      <c r="T50">
        <f>ROUND(Table1[[#This Row],[Drivers Killed Drunk Prop]]*Table1[[#This Row],[Deaths]],0)</f>
        <v>44</v>
      </c>
      <c r="U50">
        <v>15.2</v>
      </c>
      <c r="V50">
        <v>1.35</v>
      </c>
      <c r="W50">
        <f>Table1[[#This Row],[Deaths_per_100000]]*Table1[[#This Row],[Alcohol-related Driving Fatalities (%)]]</f>
        <v>5.3503999999999996</v>
      </c>
      <c r="X50" s="3">
        <v>1.599</v>
      </c>
      <c r="Y50" s="5">
        <v>4.87</v>
      </c>
    </row>
    <row r="51" spans="1:25" ht="19.5" thickBot="1">
      <c r="A51" t="s">
        <v>36</v>
      </c>
      <c r="B51">
        <v>3.1</v>
      </c>
      <c r="C51">
        <v>0.46300000000000002</v>
      </c>
      <c r="D51">
        <v>7.9000000000000001E-2</v>
      </c>
      <c r="E51">
        <v>21.4</v>
      </c>
      <c r="F51">
        <v>274</v>
      </c>
      <c r="G51">
        <v>265</v>
      </c>
      <c r="H51">
        <v>20.100000000000001</v>
      </c>
      <c r="I51">
        <v>80</v>
      </c>
      <c r="J51">
        <v>0</v>
      </c>
      <c r="K51" s="1">
        <v>1132812</v>
      </c>
      <c r="L51" s="9">
        <v>1131302</v>
      </c>
      <c r="M51" s="1">
        <v>1131302</v>
      </c>
      <c r="N51" s="6">
        <f>+Table1[[#This Row],[Census Population]]/Table1[[#This Row],[Population]]</f>
        <v>1</v>
      </c>
      <c r="O51" s="1">
        <v>13700</v>
      </c>
      <c r="P51">
        <v>208</v>
      </c>
      <c r="Q51" s="10">
        <v>114</v>
      </c>
      <c r="R51">
        <v>47</v>
      </c>
      <c r="S51">
        <f>Table1[[#This Row],[Total_drunk_drivers_killed]]/Table1[[#This Row],[Total_ drivers_killed]]</f>
        <v>0.41228070175438597</v>
      </c>
      <c r="T51">
        <f>ROUND(Table1[[#This Row],[Drivers Killed Drunk Prop]]*Table1[[#This Row],[Deaths]],0)</f>
        <v>86</v>
      </c>
      <c r="U51">
        <v>18.399999999999999</v>
      </c>
      <c r="V51">
        <v>1.52</v>
      </c>
      <c r="W51">
        <f>Table1[[#This Row],[Deaths_per_100000]]*Table1[[#This Row],[Alcohol-related Driving Fatalities (%)]]</f>
        <v>8.5191999999999997</v>
      </c>
      <c r="X51" s="3">
        <v>1.9339999999999999</v>
      </c>
      <c r="Y51" s="4">
        <v>10.57</v>
      </c>
    </row>
  </sheetData>
  <phoneticPr fontId="20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38992-0CFC-451B-BE2C-010CB9E69988}">
  <dimension ref="A1:B7"/>
  <sheetViews>
    <sheetView workbookViewId="0">
      <selection activeCell="B4" sqref="B4"/>
    </sheetView>
  </sheetViews>
  <sheetFormatPr defaultRowHeight="14.25"/>
  <cols>
    <col min="1" max="1" width="52.375" customWidth="1"/>
  </cols>
  <sheetData>
    <row r="1" spans="1:2" ht="15">
      <c r="A1" s="8" t="s">
        <v>77</v>
      </c>
    </row>
    <row r="2" spans="1:2">
      <c r="A2" t="s">
        <v>63</v>
      </c>
      <c r="B2" s="7" t="s">
        <v>64</v>
      </c>
    </row>
    <row r="3" spans="1:2">
      <c r="A3" t="s">
        <v>71</v>
      </c>
      <c r="B3" s="7" t="s">
        <v>70</v>
      </c>
    </row>
    <row r="4" spans="1:2">
      <c r="A4" t="s">
        <v>72</v>
      </c>
      <c r="B4" s="7" t="s">
        <v>66</v>
      </c>
    </row>
    <row r="5" spans="1:2">
      <c r="A5" t="s">
        <v>74</v>
      </c>
      <c r="B5" s="7" t="s">
        <v>73</v>
      </c>
    </row>
    <row r="6" spans="1:2">
      <c r="A6" t="s">
        <v>76</v>
      </c>
      <c r="B6" s="7" t="s">
        <v>75</v>
      </c>
    </row>
    <row r="7" spans="1:2">
      <c r="A7" t="s">
        <v>80</v>
      </c>
      <c r="B7" s="7" t="s">
        <v>81</v>
      </c>
    </row>
  </sheetData>
  <hyperlinks>
    <hyperlink ref="B2" r:id="rId1" xr:uid="{F14ECA0D-93F7-4B32-83E3-D97ECB284BE0}"/>
    <hyperlink ref="B3" r:id="rId2" xr:uid="{AFA003B2-AD91-4004-A6ED-AFF882340A18}"/>
    <hyperlink ref="B4" r:id="rId3" xr:uid="{46784DC9-D9D7-4959-B550-5F961CA9AB1A}"/>
    <hyperlink ref="B5" r:id="rId4" xr:uid="{7C03B9BB-46CD-4CA1-BD16-1B8B96B32539}"/>
    <hyperlink ref="B6" r:id="rId5" xr:uid="{FC6FDE0B-7287-492C-BD93-31C945BB5BDC}"/>
    <hyperlink ref="B7" r:id="rId6" xr:uid="{DE1E355D-DD36-4CCD-A3B4-0EF1CF1A0F5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WilkinsonData2023</vt:lpstr>
      <vt:lpstr>Data 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Eugene Gallagher</cp:lastModifiedBy>
  <dcterms:created xsi:type="dcterms:W3CDTF">2025-07-05T02:19:32Z</dcterms:created>
  <dcterms:modified xsi:type="dcterms:W3CDTF">2026-02-04T19:40:24Z</dcterms:modified>
</cp:coreProperties>
</file>